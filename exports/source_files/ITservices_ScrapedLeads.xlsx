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Qualified Leads" sheetId="2" r:id="rId6"/>
    <sheet state="visible" name="Under Review" sheetId="3" r:id="rId7"/>
    <sheet state="visible" name="Pipeline Stats" sheetId="4" r:id="rId8"/>
  </sheets>
  <definedNames/>
  <calcPr/>
</workbook>
</file>

<file path=xl/sharedStrings.xml><?xml version="1.0" encoding="utf-8"?>
<sst xmlns="http://schemas.openxmlformats.org/spreadsheetml/2006/main" count="1475" uniqueCount="927">
  <si>
    <t>#</t>
  </si>
  <si>
    <t>Company</t>
  </si>
  <si>
    <t>Domain</t>
  </si>
  <si>
    <t>Date</t>
  </si>
  <si>
    <t>Founder(s)</t>
  </si>
  <si>
    <t>Founder LinkedIn (verified)</t>
  </si>
  <si>
    <t>Email</t>
  </si>
  <si>
    <t>Firms Enriched</t>
  </si>
  <si>
    <t>Contact Number</t>
  </si>
  <si>
    <t>Qualified (4/4)</t>
  </si>
  <si>
    <t>Incorp. Year</t>
  </si>
  <si>
    <t>Review (3/4)</t>
  </si>
  <si>
    <t>HQ / India delivery</t>
  </si>
  <si>
    <t>Size Bucket</t>
  </si>
  <si>
    <t>SPOC 2 Linkedin</t>
  </si>
  <si>
    <t>Contact Number 2</t>
  </si>
  <si>
    <t>Segment</t>
  </si>
  <si>
    <t>Missing Field(s)</t>
  </si>
  <si>
    <t>Notes</t>
  </si>
  <si>
    <t>Founder %</t>
  </si>
  <si>
    <t>Approx. Headcount</t>
  </si>
  <si>
    <t>LinkedIn %</t>
  </si>
  <si>
    <t>Phone %</t>
  </si>
  <si>
    <t>Headcount source (approx.)</t>
  </si>
  <si>
    <t>Email %</t>
  </si>
  <si>
    <t>All-Four %</t>
  </si>
  <si>
    <t>Status</t>
  </si>
  <si>
    <t>Synced At</t>
  </si>
  <si>
    <t>1985.co.in</t>
  </si>
  <si>
    <t>Berenice Pandit (Jewelry Designer &amp; Sole Proprietor at Sweet 1985); Chris Rappley (Senior Strategic Advisor)</t>
  </si>
  <si>
    <t>https://www.linkedin.com/in/berenice-pandit-35b0644</t>
  </si>
  <si>
    <t>bere@sweet1985.com</t>
  </si>
  <si>
    <t>+16199858511</t>
  </si>
  <si>
    <t>https://www.linkedin.com/in/rappley</t>
  </si>
  <si>
    <t>+16179396207</t>
  </si>
  <si>
    <t>India</t>
  </si>
  <si>
    <t>10-49</t>
  </si>
  <si>
    <t>1-100</t>
  </si>
  <si>
    <t>GoodFirms</t>
  </si>
  <si>
    <t>1985 is a platform agnostic, boutique development shop that builds large applications for entrepreneurs. The expert team of custom software developers at 1985 work on open source technologies like Ruby on Rails and Python-Django. The company publishes the libraries and frameworks written by their technically sound software developers to help developers’ community.</t>
  </si>
  <si>
    <t>founder 'Berenice Pandit' via Signalhire - verify | founder 'Chris Rappley' via Signalhire - verify</t>
  </si>
  <si>
    <t>2026-07-14T10:32:33+00:00</t>
  </si>
  <si>
    <t>1solutions.biz</t>
  </si>
  <si>
    <t>Atul Chaudhary (Director); MOHAN KUMAR (Business Director)</t>
  </si>
  <si>
    <t>https://www.linkedin.com/in/atulchaudhary01</t>
  </si>
  <si>
    <t>atulchaudhary@gmail.com</t>
  </si>
  <si>
    <t>+919990034566</t>
  </si>
  <si>
    <t>https://www.linkedin.com/in/mohan-kumar-995702279</t>
  </si>
  <si>
    <t>+918700693052</t>
  </si>
  <si>
    <t>Hire Expert NextJS Developer Services Businesses today need fast and scalable websites to stay competitive in the digital world. NextJS development services help create high-performance web applications with better speed, security, and SEO structure. With modern frameworks and responsive design, developers build websites that provide a smooth user experience and support long-term online growth. Read ... read 1Solutions reviews &amp; insights</t>
  </si>
  <si>
    <t>founder 'Atul Chaudhary' via Signalhire - verify | founder 'MOHAN KUMAR' via Signalhire - verify</t>
  </si>
  <si>
    <t>3elixir.com</t>
  </si>
  <si>
    <t>Suthar Sachin (Project Manager); Luhar Ramila (Founder)</t>
  </si>
  <si>
    <t>https://www.linkedin.com/in/sachin-suthar</t>
  </si>
  <si>
    <t>sachin@3elitist.com</t>
  </si>
  <si>
    <t>+917046494456</t>
  </si>
  <si>
    <t>https://www.linkedin.com/in/imramilaluhar</t>
  </si>
  <si>
    <t>+918320037878</t>
  </si>
  <si>
    <t>Being a leading global provider of web applications and mobile app development services to global brands, Entrepreneurs, Digital agencies, and SMEs located around the world, we focus on building long-term partnerships with customers enabling them to reimagine their business through a digital lens. As a progressive company, we are always up for new challenges and ... read 3ELIXIR SOLUTIONS reviews &amp; insights</t>
  </si>
  <si>
    <t>founder 'Suthar Sachin' via Signalhire - verify | founder 'Luhar Ramila' via Signalhire - verify</t>
  </si>
  <si>
    <t>4wtech.com</t>
  </si>
  <si>
    <t>Ganesh AV (Director); Brent Welch (SVP Account Management)</t>
  </si>
  <si>
    <t>https://www.linkedin.com/in/ganesh-av-1a99564</t>
  </si>
  <si>
    <t>ganesh@4wtech.com</t>
  </si>
  <si>
    <t>+12019843175</t>
  </si>
  <si>
    <t>https://www.linkedin.com/in/brent-welch-7431482</t>
  </si>
  <si>
    <t>+12257213479</t>
  </si>
  <si>
    <t>50-249</t>
  </si>
  <si>
    <t>100-500</t>
  </si>
  <si>
    <t>4W has been focusing almost entirely on and related technologies for more than 25 years, our experience spans the entire technological range from early technologies to the latest technologies such as Caché and Embedded Technologies (Zen, CSPs, WEBLINK), Ensemble, HealthShare, DeepSee and iKnow. We are also well versed in various related software such as VistA, ... read 4w Technologies reviews &amp; insights</t>
  </si>
  <si>
    <t>founder 'Ganesh AV' via Signalhire - verify | founder 'Brent Welch' via Signalhire - verify</t>
  </si>
  <si>
    <t>7span.com</t>
  </si>
  <si>
    <t>Bhavik Vachhani (Partner); Harsh Kansagara (Co-Founder)</t>
  </si>
  <si>
    <t>https://www.linkedin.com/in/bhavik-vachhani</t>
  </si>
  <si>
    <t>bhavik@7span.com</t>
  </si>
  <si>
    <t>+919712675489</t>
  </si>
  <si>
    <t>https://www.linkedin.com/in/theharsh</t>
  </si>
  <si>
    <t>+917738077399</t>
  </si>
  <si>
    <t>We're Pixel Perfect! 7Span is a creative digital agency &amp; an IT company, in the digital realm, right from branding to social media campaigns, and website design and development to mobile application development. With a team of young and buzzing designers and developers who always try to bring the best that the web has to ... read 7Span reviews &amp; insights</t>
  </si>
  <si>
    <t>founder 'Bhavik Vachhani' via Signalhire - verify | founder 'Harsh Kansagara' via Signalhire - verify</t>
  </si>
  <si>
    <t>99graphicsdesign.com</t>
  </si>
  <si>
    <t>Kaustav Sikari (Co-Founder); Avijit Rath (CEO)</t>
  </si>
  <si>
    <t>https://www.linkedin.com/in/kaustav-sikari-218b6b260</t>
  </si>
  <si>
    <t>kaustav992@gmail.com</t>
  </si>
  <si>
    <t>+918961384882</t>
  </si>
  <si>
    <t>https://www.linkedin.com/in/avijit-rath</t>
  </si>
  <si>
    <t>+919088081037</t>
  </si>
  <si>
    <t>99Graphics Design is a results-driven digital marketing and creative design agency focused on helping businesses grow online with clarity and confidence. We work with startups, local businesses, and growing brands to build a strong digital presence that attracts the right audience and converts them into real customers.Our core services include website design and development, SEO ... read 99Graphics Design reviews &amp; insights</t>
  </si>
  <si>
    <t>founder 'Kaustav Sikari' via Signalhire - verify | founder 'Avijit Rath' via Signalhire - verify</t>
  </si>
  <si>
    <t>9series.com</t>
  </si>
  <si>
    <t>Rajnikant Joshi (Chief Executive Officer); Mwangi Peter Macharia (Head of Commercial -East Africa)</t>
  </si>
  <si>
    <t>https://www.linkedin.com/in/rajnikantjoshi</t>
  </si>
  <si>
    <t>rajnikant@9spl.com</t>
  </si>
  <si>
    <t>+919879465478</t>
  </si>
  <si>
    <t>https://www.linkedin.com/in/mwangi-p-31703339</t>
  </si>
  <si>
    <t>250+</t>
  </si>
  <si>
    <t>500-1000</t>
  </si>
  <si>
    <t>GoodFirms (250 - 999)</t>
  </si>
  <si>
    <t>AI-First Engineering for Intelligent Business Transformation At 9series, we help organizations move beyond traditional software by building intelligent systems powered by AI. With over 12 years of technology consulting and product engineering experience, we specialize in designing, developing, and deploying AI-driven solutions that automate workflows, enhance decision-making, and create measurable business impact. Our focus is ... read 9series Inc reviews &amp; insights</t>
  </si>
  <si>
    <t>founder 'Rajnikant Joshi' via Signalhire - verify | founder 'Mwangi Peter Macharia' via Signalhire - verify</t>
  </si>
  <si>
    <t>a3logics.com</t>
  </si>
  <si>
    <t>Scarlett Brown (Director of Operations); Akhilesh S. (President &amp; CEO)</t>
  </si>
  <si>
    <t>https://www.linkedin.com/in/scarlett-brown-297a941a0</t>
  </si>
  <si>
    <t>browns@portsmouthva.gov</t>
  </si>
  <si>
    <t>+918946947112</t>
  </si>
  <si>
    <t>https://www.linkedin.com/in/akhilesh-sh</t>
  </si>
  <si>
    <t>+911412785794</t>
  </si>
  <si>
    <t>A3 Logics provides best-in-class software development services to its clients. A3Logics is a powerhouse of digital transformation, bringing together top-tier experts with a diverse skillset to craft custom, world-class solutions for businesses of all sizes. From visionary digital product design to seamless development, they are dedicated to delivering transformative digital experiences that redefine success.</t>
  </si>
  <si>
    <t>founder 'Scarlett Brown' via Signalhire - verify | founder 'Akhilesh S.' via Signalhire - verify</t>
  </si>
  <si>
    <t>aalpha.net</t>
  </si>
  <si>
    <t>Pawan Pawar (CEO); Aryan Habib (Software Trainee)</t>
  </si>
  <si>
    <t>https://www.linkedin.com/in/pawankpawar</t>
  </si>
  <si>
    <t>pawan@aalpha.net</t>
  </si>
  <si>
    <t>+919845619104</t>
  </si>
  <si>
    <t>https://www.linkedin.com/in/aryanhabib4</t>
  </si>
  <si>
    <t>Aalpha Information Systems is the global pioneer in providing IT consulting and bespoke software development &amp; web development solutions. We provide custom development solutions across Software Development, Mobile Phone Application Development, Responsive Web Design, and Web App Development Services.</t>
  </si>
  <si>
    <t>founder 'Pawan Pawar' via Signalhire - verify | founder 'Aryan Habib' via Signalhire - verify</t>
  </si>
  <si>
    <t>aapnainfotech.com</t>
  </si>
  <si>
    <t>Dr. Bandana Biswas (Partner); Sandeep Goel (Managing Consultant)</t>
  </si>
  <si>
    <t>https://www.linkedin.com/in/bandanabiswas</t>
  </si>
  <si>
    <t>bandana.biswas@aapnainfotech.com</t>
  </si>
  <si>
    <t>+910418899645</t>
  </si>
  <si>
    <t>https://www.linkedin.com/in/sandeep-goel-53068a12</t>
  </si>
  <si>
    <t>+919811807879</t>
  </si>
  <si>
    <t>AAPNA Infotech, is a leading provider of software development solutions &amp; Quality Assurance services, based out of New Delhi, India and offices in USA &amp; Australia. We take pride in our ability to deliver scalable, robust, and highly flexible solutions to clients across the globe. Our Key Services: Enterprise Application Development and Maintenance, Quality Assurance, ... read Aapna Infotech reviews &amp; insights</t>
  </si>
  <si>
    <t>founder 'Dr. Bandana Biswas' via Signalhire - verify | founder 'Sandeep Goel' via Signalhire - verify</t>
  </si>
  <si>
    <t>aartek.co.in</t>
  </si>
  <si>
    <t>Neeraj Paliwal (Managing Director)</t>
  </si>
  <si>
    <t>https://www.linkedin.com/in/neeraj-paliwal-9597b21a</t>
  </si>
  <si>
    <t>neeraj.paliwal@aartek.co.in</t>
  </si>
  <si>
    <t>+919425993523</t>
  </si>
  <si>
    <t>AARTEK Software Solutions is a leading information technology consulting and services provider, providing end-to-end solutions for diversified clients from varied industry. We have been a pioneer in adopting technology to ensure enhanced customer choice, convenience and gratification. From the last 9 years, we have offered world-class services in IT consulting, offshore software development. We have ... read Aartek Software Solutions Pvt. Ltd reviews &amp; insights</t>
  </si>
  <si>
    <t>founder 'Neeraj Paliwal' via Signalhire - verify</t>
  </si>
  <si>
    <t>aaryavarta.com</t>
  </si>
  <si>
    <t>Ajay Khamitkar (Co-Founder); Nilesh Gawade -  9 Years in Gaming 🎮 🕹️ 🎲 🎰 🎱 ♠️ (Unity 3D Game Development Expert &amp; Co Founder)</t>
  </si>
  <si>
    <t>https://www.linkedin.com/in/ajaykhamitkar</t>
  </si>
  <si>
    <t>ajay@aaryavarta.com</t>
  </si>
  <si>
    <t>+19145524075</t>
  </si>
  <si>
    <t>https://www.linkedin.com/in/nilesh-gawade-aaryavarta</t>
  </si>
  <si>
    <t>+919545524075</t>
  </si>
  <si>
    <t>Aaryavarta Technologies is top game development company from India which has branch in Singapore ,UK, USA. This studio is located in Pune, We works on Unity3d, Cocos2dx game engines. We have team of 30 game specialist works on android, IOS, web, facebook, desktop. There are very few gaming companies in Singapore and aaryavarta is one ... read Aaryavarta Technologies reviews &amp; insights</t>
  </si>
  <si>
    <t>founder 'Ajay Khamitkar' via Signalhire - verify | founder 'Nilesh Gawade -  9 Years in Gaming 🎮 🕹️ 🎲 🎰 🎱 ♠️' via Signalhire - verify</t>
  </si>
  <si>
    <t>aavatto.com</t>
  </si>
  <si>
    <t>Pratik Malvi (Co-Founder); Niraj Gohel (Co-Founder)</t>
  </si>
  <si>
    <t>https://www.linkedin.com/in/pratikmalvi</t>
  </si>
  <si>
    <t>pratik@aavatto.com</t>
  </si>
  <si>
    <t>+918149078119</t>
  </si>
  <si>
    <t>https://www.linkedin.com/in/nirajosphere</t>
  </si>
  <si>
    <t>+919408445762</t>
  </si>
  <si>
    <t>Aavatto is your one-stop solution for all the Technological needs. From designing to testing, we have got you covered. We have an experienced team of Developers and Designers who can convert any great idea into a wonderful product for your company. We are a team of enthusiastic people who can convert any great idea into ... read Aavatto reviews &amp; insights</t>
  </si>
  <si>
    <t>founder 'Pratik Malvi' via Signalhire - verify | founder 'Niraj Gohel' via Signalhire - verify</t>
  </si>
  <si>
    <t>abhiwan.com</t>
  </si>
  <si>
    <t>Pawan Kumar Agnihotri (Director); Abhishek Verma (Co-Founder)</t>
  </si>
  <si>
    <t>https://www.linkedin.com/in/pawan-kumar-agnihotri-32a2a083</t>
  </si>
  <si>
    <t>pawan@abhiwan.com</t>
  </si>
  <si>
    <t>+919716868600</t>
  </si>
  <si>
    <t>https://www.linkedin.com/in/abhishek-verma-abhiwan</t>
  </si>
  <si>
    <t>+919910918980</t>
  </si>
  <si>
    <t>Abhiwan Technology, founded in 2018, is a leading provider of cutting-edge technology solutions. Specializing in virtual reality, augmented reality, game development, and more, we offer innovative services to clients worldwide. Our team is dedicated to delivering tailored IT solutions that address specific business needs, ensuring success and growth. With a focus on collaboration and continuous ... read Abhiwan Technology reviews &amp; insights</t>
  </si>
  <si>
    <t>founder 'Pawan Kumar Agnihotri' via Signalhire - verify | founder 'Abhishek Verma' via Signalhire - verify</t>
  </si>
  <si>
    <t>absoluteapplabs.com</t>
  </si>
  <si>
    <t>Suresh Petchiappan (Director of Sales); Rooban Gopalakrishnan (Founder &amp; Director - US region)</t>
  </si>
  <si>
    <t>https://www.linkedin.com/in/suresh-petchiappan-b6700bb6</t>
  </si>
  <si>
    <t>suresh@absoluteapplabs.com</t>
  </si>
  <si>
    <t>+919790754439</t>
  </si>
  <si>
    <t>https://www.linkedin.com/in/roobang</t>
  </si>
  <si>
    <t>Absolute App Labs is a global software engineering company helping startups, mid-sized businesses, and enterprises build scalable, intelligent, and high-quality digital products. We combine deep engineering expertise with AI-accelerated development to deliver products faster with complete transparency, consistency, and trust. What We Do End-to-end product development: strategy → UX/UI → engineering → launch Seamless API ... read Absolute App Labs reviews &amp; insights</t>
  </si>
  <si>
    <t>founder 'Suresh Petchiappan' via Signalhire - verify | founder 'Rooban Gopalakrishnan' via Signalhire - verify</t>
  </si>
  <si>
    <t>accucia.com</t>
  </si>
  <si>
    <t>Sumeet Katariya (Founder &amp; CEO)</t>
  </si>
  <si>
    <t>https://www.linkedin.com/in/sumeetkatariya</t>
  </si>
  <si>
    <t>sumeetkatariya@accucia.com</t>
  </si>
  <si>
    <t>+918883832222</t>
  </si>
  <si>
    <t>Accucia Softwares is a dynamically well-established Mobile &amp; Desktop Application Development, Web Designing &amp; Development Company. With our strong and adroit team of experienced IT experts having in-depth domain knowledge of diverse verticals and across various development platforms, we have delivered hundreds of projects across the globe.</t>
  </si>
  <si>
    <t>founder 'Sumeet Katariya' via Signalhire - verify</t>
  </si>
  <si>
    <t>accusol.com</t>
  </si>
  <si>
    <t>Mohan Motiani (CEO); Frank Sciacchitano (Owner)</t>
  </si>
  <si>
    <t>https://www.linkedin.com/in/mohanmotiani</t>
  </si>
  <si>
    <t>mohan@zipbooks.in</t>
  </si>
  <si>
    <t>+919825227192</t>
  </si>
  <si>
    <t>https://www.linkedin.com/in/frank-sciacchitano-0230356</t>
  </si>
  <si>
    <t>+19547071863</t>
  </si>
  <si>
    <t>Accusol Technologies is an Enterprise Solution Provider Company based in Ahmedabad India. It provides Business Softwares such as ERP, CRM, Point of Sale (POS), HR &amp; Payroll Software, Institute Management Software to various small as well as mid-sized entities. Accusol caters to wide industry segments such as Manufacturing, Healthcare, Textiles, Food Processing, FMCG, Retail, Educational ... read Accusol reviews &amp; insights</t>
  </si>
  <si>
    <t>founder 'Mohan Motiani' via Signalhire - verify | founder 'Frank Sciacchitano' via Signalhire - verify</t>
  </si>
  <si>
    <t>ace360degree.com</t>
  </si>
  <si>
    <t>Altaf Shaikh (Founder &amp; CEO)</t>
  </si>
  <si>
    <t>https://www.linkedin.com/in/altaf-shaikhceo</t>
  </si>
  <si>
    <t>ashaikh@a360pl.com</t>
  </si>
  <si>
    <t>+919029065683</t>
  </si>
  <si>
    <t>Ace360Degree is a Mumbai-based digital marketing and creative technology agency specializing in empowering brands and SMEs through strategic digital solutions. With over six years of experience and more than 300 projects completed, the company offers a comprehensive suite of services designed to enhance online presence, engage target audiences, and drive measurable results.</t>
  </si>
  <si>
    <t>founder 'Altaf Shaikh' via Signalhire - verify</t>
  </si>
  <si>
    <t>aceinfoway.com</t>
  </si>
  <si>
    <t>Rahul Kalaria (Co-founder, Director); Amit Mehta (Founder / CEO)</t>
  </si>
  <si>
    <t>https://www.linkedin.com/in/rahulkalaria</t>
  </si>
  <si>
    <t>rahul@outsourcing2india.com</t>
  </si>
  <si>
    <t>+919824351595</t>
  </si>
  <si>
    <t>https://www.linkedin.com/in/myamit</t>
  </si>
  <si>
    <t>+919374100452</t>
  </si>
  <si>
    <t>Ace Infoway, with over 24+ years of expertise in a wide range of IT Services, is an unstoppable force! We have global reach, with teams and resources in the USA, UK, Australia, and India. Over the years, we’ve emerged as a preferred “GO-TO” technology partner for our customers in their epic digital journey. Harnessing our ... read Ace Infoway reviews &amp; insights</t>
  </si>
  <si>
    <t>founder 'Rahul Kalaria' via Signalhire - verify | founder 'Amit Mehta' via Signalhire - verify</t>
  </si>
  <si>
    <t>acsestech.com</t>
  </si>
  <si>
    <t>Rajasekhar Atmakuri (SAP SCM Architect / Director)</t>
  </si>
  <si>
    <t>https://www.linkedin.com/in/rajasekharatmakuri</t>
  </si>
  <si>
    <t>ratmakuri@mysupplychaingroup.com</t>
  </si>
  <si>
    <t>+919885519678</t>
  </si>
  <si>
    <t>Acsestech as one of the leading and best service oriented digital marketing company in Hyderabad, India, where you can get high quality and results oriented Digital Marketing Services ranging from SEO to AdWords, Web Design, Web development and more, we serviced our services in India, Australia, Canada and US. Acsestech is the top SAP Ariba ... read ACSESTECH Consulting Services Pvt Ltd reviews &amp; insights</t>
  </si>
  <si>
    <t>founder 'Rajasekhar Atmakuri' via Signalhire - verify</t>
  </si>
  <si>
    <t>acsonnet.com</t>
  </si>
  <si>
    <t>Amit Gupta (Co-Founder); Sachin Gupta (Director)</t>
  </si>
  <si>
    <t>https://www.linkedin.com/in/amit-gupta-96468115</t>
  </si>
  <si>
    <t>amigupta@hotmail.com</t>
  </si>
  <si>
    <t>+17034595607</t>
  </si>
  <si>
    <t>https://www.linkedin.com/in/sachin-gupta-0a685016</t>
  </si>
  <si>
    <t>+911123658156</t>
  </si>
  <si>
    <t>Accurate Info Soft Pvt. Ltd., a offshore software development company in india established since 1995 has made it's market presence in various segments. Our policy is to deliver efficient and reliable software solutions to meet the client expectations using state of art technologies. Accurate Info Soft Pvt. Ltd., partners with various companies to plan, build, ... read Accurate Info Soft pvt ltd reviews &amp; insights</t>
  </si>
  <si>
    <t>founder 'Amit Gupta' via Signalhire - verify | founder 'Sachin Gupta' via Signalhire - verify</t>
  </si>
  <si>
    <t>actiknow.com</t>
  </si>
  <si>
    <t>Ravendra Kumar (President); James BondHire (CEO)</t>
  </si>
  <si>
    <t>https://www.linkedin.com/in/ravendra-kumar-b6a5732</t>
  </si>
  <si>
    <t>ravendra.kumar@shaktiit.com</t>
  </si>
  <si>
    <t>+919818139674</t>
  </si>
  <si>
    <t>https://www.linkedin.com/in/james-bondhire-a3a106183</t>
  </si>
  <si>
    <t>At Actiknow, we provide comprehensive Software Development, Business Intelligence and Data analytics services to businesses of all sizes worldwide. We turn our clients’ business needs and dreams into functional applications. We ensure that our team understands the client’s business and strives not just to meet the client requirements but also those undocumented expectations. Leveraging almost ... read Actiknow Consulting Pvt Ltd reviews &amp; insights</t>
  </si>
  <si>
    <t>founder 'Ravendra Kumar' via Signalhire - verify | founder 'James BondHire' via Signalhire - verify</t>
  </si>
  <si>
    <t>active.agency</t>
  </si>
  <si>
    <t>David Baker (Managing Director); Bob Jeffry Ziegler (Founder)</t>
  </si>
  <si>
    <t>https://www.linkedin.com/in/david-baker-09676b4</t>
  </si>
  <si>
    <t>david.baker@rodenstock.co.uk</t>
  </si>
  <si>
    <t>+441480450560</t>
  </si>
  <si>
    <t>https://www.linkedin.com/in/bob-jeffry-ziegler</t>
  </si>
  <si>
    <t>+60122056331</t>
  </si>
  <si>
    <t>Born as the digital native in the year 2006 when agile was new, we were the early adopters of lean mindset. Since then, we have been quick to adapt to newer technologies across Web, eCommerce, Mobile, and Cloud platforms. Having partnered with over 100 brands with a lean and distributed team of 70 experts we ... read Tech Active reviews &amp; insights</t>
  </si>
  <si>
    <t>founder 'David Baker' via Signalhire - verify | founder 'Bob Jeffry Ziegler' via Signalhire - verify</t>
  </si>
  <si>
    <t>acttconnect.com</t>
  </si>
  <si>
    <t>Kush Dwivedi (Co-Founder); Tarun Dwivedi (Founder &amp; CEO)</t>
  </si>
  <si>
    <t>https://www.linkedin.com/in/kush-dwivedi-269627190</t>
  </si>
  <si>
    <t>kushdwivedi8@gmail.com</t>
  </si>
  <si>
    <t>+918354837559</t>
  </si>
  <si>
    <t>https://www.linkedin.com/in/tarun-dwivedi-82a72b11b</t>
  </si>
  <si>
    <t>+919329143655</t>
  </si>
  <si>
    <t>Protect the most important things. Trust ACT T Connect to professionally handle your project and software solutions. Act T Connect is an innovative and well-known web development and digital marketing company with its headquarters in Jhansi, Uttar Pradesh. We provide a pleasant, welcoming workplace and a relaxing working atmosphere. Act T Connect is a reputable ... read Act T Connect reviews &amp; insights</t>
  </si>
  <si>
    <t>founder 'Kush Dwivedi' via Signalhire - verify | founder 'Tarun Dwivedi' via Signalhire - verify</t>
  </si>
  <si>
    <t>aculance.com</t>
  </si>
  <si>
    <t>Ankit Dave (Director &amp; Co-founder); Maharishi Gautam (Managing Director)</t>
  </si>
  <si>
    <t>https://www.linkedin.com/in/ankit-dave-20b74a21</t>
  </si>
  <si>
    <t>dave19872000@gmail.com</t>
  </si>
  <si>
    <t>+919584088000</t>
  </si>
  <si>
    <t>https://www.linkedin.com/in/maharishi-gautam-939b6021</t>
  </si>
  <si>
    <t>+918319744948</t>
  </si>
  <si>
    <t>Certified with ISO 9001:2015; Nasscom and CMMi Level3 Aculance IT Solutions is one of the leading firms based in India. Our main objective is to provide the best service and improve client business in a cut-throat market. Innovative ideas, experience team, strong skill-set, and capability to deliver the best product are our specialization. We have ... read Aculance IT Solutions reviews &amp; insights</t>
  </si>
  <si>
    <t>founder 'Ankit Dave' via Signalhire - verify | founder 'Maharishi Gautam' via Signalhire - verify</t>
  </si>
  <si>
    <t>adaptnxt.com</t>
  </si>
  <si>
    <t>Nagendra K V (Co-Founder &amp; CTO); Dheer Lalit Gupta (Co-Founder and CEO)</t>
  </si>
  <si>
    <t>https://www.linkedin.com/in/nagendrakv</t>
  </si>
  <si>
    <t>nagendra.kv@gmail.com</t>
  </si>
  <si>
    <t>+919986390044</t>
  </si>
  <si>
    <t>https://www.linkedin.com/in/dheerlalitgupta</t>
  </si>
  <si>
    <t>+919886653346</t>
  </si>
  <si>
    <t>AdaptNXT is a boutique technology solutions organization, simplifying the digital transformation for businesses. We closely engage with our customers, understand the requirements well and simplify the digital adaption for them which directly increases their bottomline.</t>
  </si>
  <si>
    <t>founder 'Nagendra K V' via Signalhire - verify | founder 'Dheer Lalit Gupta' via Signalhire - verify</t>
  </si>
  <si>
    <t>adequateinfosoft.com</t>
  </si>
  <si>
    <t>Raju Prasad (CEO and Entrepreneur); Avadh Kishore (Director of Operations)</t>
  </si>
  <si>
    <t>https://www.linkedin.com/in/raju-prasad-82559b33</t>
  </si>
  <si>
    <t>raju.prasad@adequateinfosoft.com</t>
  </si>
  <si>
    <t>+601162333831</t>
  </si>
  <si>
    <t>https://www.linkedin.com/in/adequate-infosoft</t>
  </si>
  <si>
    <t>+9101204198878</t>
  </si>
  <si>
    <t>Adequate Infosoft has an excellent team of web development professionals who are highly experts in analyzing, strategizing, developing and deploying the need for complex software development projects including web, desktop, mobile, cloud, windows, mac, etc. Our prime objective of the organization is to render the world-class solutions of information technology with full care and dedication. ... read Adequate Infosoft Pvt. Ltd reviews &amp; insights</t>
  </si>
  <si>
    <t>founder 'Raju Prasad' via Signalhire - verify | founder 'Avadh Kishore' via Signalhire - verify</t>
  </si>
  <si>
    <t>adhocsoftwares.com</t>
  </si>
  <si>
    <t>Karthik Srinivasan (Director Of Business Development)</t>
  </si>
  <si>
    <t>https://www.linkedin.com/in/karthik-srinivasan-46847a20</t>
  </si>
  <si>
    <t>karthik.roaming@gmail.com</t>
  </si>
  <si>
    <t>+919698169069</t>
  </si>
  <si>
    <t>Adhoc Softwares is a software development company in India delivering Software services worldwide. We are a team of software engineers, business analysts, designers, and quality analysts for developing software for ambitious start-ups as well as large international companies in the IT industry. We deliver quality and innovative solutions to exceed the industry standard and client ... read Adhoc Softwares INC reviews &amp; insights</t>
  </si>
  <si>
    <t>founder 'Karthik Srinivasan' via Signalhire - verify</t>
  </si>
  <si>
    <t>adsumoriginator.com</t>
  </si>
  <si>
    <t>Navneet Boghani (Founder and Director at Adsum Orignator); Amit Mangukiya (Founder)</t>
  </si>
  <si>
    <t>https://www.linkedin.com/in/navneet-boghani-9b226325</t>
  </si>
  <si>
    <t>navneet.boghani@vision11.in</t>
  </si>
  <si>
    <t>+918160526583</t>
  </si>
  <si>
    <t>https://www.linkedin.com/in/amit-mangukiya</t>
  </si>
  <si>
    <t>+918460767225</t>
  </si>
  <si>
    <t>We hold expertise in converting your dreams into reality with our awesome IT services or Development Services. Having a full command in delivering the best IT Solutions, we are considered as the top most Mobile App/Website development company. We explore different ideas and technology for our clients’ project to deliver utmost satisfaction. We have a ... read Adsum Originator LLP reviews &amp; insights</t>
  </si>
  <si>
    <t>founder 'Navneet Boghani' via Signalhire - verify | founder 'Amit Mangukiya' via Signalhire - verify</t>
  </si>
  <si>
    <t>advanceecomsolutions.com</t>
  </si>
  <si>
    <t>Ramesh Raju (CEO); AES Technologies (Owner)</t>
  </si>
  <si>
    <t>https://www.linkedin.com/in/aesramesh</t>
  </si>
  <si>
    <t>ramesh@aes.in</t>
  </si>
  <si>
    <t>+914443909090</t>
  </si>
  <si>
    <t>https://www.linkedin.com/in/aestechnologies</t>
  </si>
  <si>
    <t>AES Technologies is a professional web development company in India. We have a huge pool of happy clients from Australia, UK, Singapore, USA and many more countries. Outsource your web design, web application development, Mobile application development, SEO and Responsive web design needs to us for expert solutions.</t>
  </si>
  <si>
    <t>founder 'Ramesh Raju' via Signalhire - verify | founder 'AES Technologies' via Signalhire - verify</t>
  </si>
  <si>
    <t>adventsys.in</t>
  </si>
  <si>
    <t>Raghu Ponnusamy (Founder &amp; Director); Suji Palanisamy (Director)</t>
  </si>
  <si>
    <t>https://www.linkedin.com/in/raghupon</t>
  </si>
  <si>
    <t>info_as@adventsys.in</t>
  </si>
  <si>
    <t>+919008150710</t>
  </si>
  <si>
    <t>https://www.linkedin.com/in/suji-palanisamy-149780b6</t>
  </si>
  <si>
    <t>AdventSys Technologies is committed to empowering our customers with a variety of software services and consulting that makes a difference to their business operations. Be it a travel desk app that tracks fleet trips or an application for a manufacturing facility that ensure error-free warehouse operations &amp; goods dispatches, our solutions immensely help our customers ... read AdventSys Technologies Private Limited reviews &amp; insights</t>
  </si>
  <si>
    <t>founder 'Raghu Ponnusamy' via Signalhire - verify | founder 'Suji Palanisamy' via Signalhire - verify</t>
  </si>
  <si>
    <t>advmedia.in</t>
  </si>
  <si>
    <t>Mukesh N Mamtora (Founder); Winston Sterzel (Joint Owner)</t>
  </si>
  <si>
    <t>https://www.linkedin.com/in/digitalmukesh</t>
  </si>
  <si>
    <t>mukesh@promnitechdigital.com</t>
  </si>
  <si>
    <t>+919757098411</t>
  </si>
  <si>
    <t>Advmedia is one among the very few Digital Marketing Agencies in Mumbai that provide 360° approach to digital marketing solution by offering Web Design, SEO, Social Media Marketing, Pay-Per-Click Advertising and Application Development. With the ever increasing number of internet marketing companies in India, Advmedia, the digital marketing company in mumbai drives the right prospects ... read ADVMEDIA reviews &amp; insights</t>
  </si>
  <si>
    <t>founder 'Mukesh N Mamtora' via Signalhire - verify | founder 'Winston Sterzel' via Signalhire - verify</t>
  </si>
  <si>
    <t>agency09.in</t>
  </si>
  <si>
    <t>Gautam Anand (Co-founder &amp; Head of Content); Ketan Shivadekar (Creative Director)</t>
  </si>
  <si>
    <t>https://www.linkedin.com/in/gautam-anand-314ba814</t>
  </si>
  <si>
    <t>gautam@agency09.in</t>
  </si>
  <si>
    <t>+919819765425</t>
  </si>
  <si>
    <t>https://www.linkedin.com/in/ketan-shivadekar</t>
  </si>
  <si>
    <t>+919820610887</t>
  </si>
  <si>
    <t>Founded in 2013, we are a Mumbai-based agency with a global footprint, specializing in scaling businesses through innovative solutions in content, technology, design, and data. Our roots in Bandra have nurtured a culture of creative thinking and purpose-driven growth. We collaborate closely with clients to expand their horizons, venture into uncharted territories, and make a ... read AGENCY09 reviews &amp; insights</t>
  </si>
  <si>
    <t>founder 'Gautam Anand' via Signalhire - verify | founder 'Ketan Shivadekar' via Signalhire - verify</t>
  </si>
  <si>
    <t>agilecube.com</t>
  </si>
  <si>
    <t>Nitul Mehta (Director)</t>
  </si>
  <si>
    <t>https://www.linkedin.com/in/nitul-mehta</t>
  </si>
  <si>
    <t>nitul.mehta@agilecube.com</t>
  </si>
  <si>
    <t>+918141272582</t>
  </si>
  <si>
    <t>Founded in 2011, AgileCube is a growing software solution company, delivering digital business acceleration, enterprise modernization, and next-generation product engineering services. AgileCube routinely helps a wide range of clients from start-ups to Fortune 500 by transforming initial visions into effective technological products. Application Modernization: 10 years of extensive experience in consulting, Re-host, Re-platform, Re-architect, Microservices, ... read AgileCube Technologies reviews &amp; insights</t>
  </si>
  <si>
    <t>founder 'Nitul Mehta' via Signalhire - verify</t>
  </si>
  <si>
    <t>aglowiditsolutions.com</t>
  </si>
  <si>
    <t>Ronak Patel (CEO); Er. Ravi Thakor (SEO Specialist)</t>
  </si>
  <si>
    <t>https://www.linkedin.com/in/ronak-patel-aglowid</t>
  </si>
  <si>
    <t>ronakpatel70@gmail.com</t>
  </si>
  <si>
    <t>+919898664170</t>
  </si>
  <si>
    <t>https://www.linkedin.com/in/ravi-thakor</t>
  </si>
  <si>
    <t>+917043891447</t>
  </si>
  <si>
    <t>Aglowid IT Solutions - being a trusted digital transformation company, serve ambitious organizations ready to transform their operations and overcome daily challenges. We understand the hustle growing businesses face - limited insights, time constraints, and the constant need to stay competitive. To deal with it we focus on streamlining processes, leveraging automation, and reducing inefficiencies ... read Aglowid It Solutions reviews &amp; insights</t>
  </si>
  <si>
    <t>founder 'Ronak Patel' via Signalhire - verify | founder 'Er. Ravi Thakor' via Signalhire - verify</t>
  </si>
  <si>
    <t>agtindia.com</t>
  </si>
  <si>
    <t>AJAY KUMAR JAIN (Managing Director)</t>
  </si>
  <si>
    <t>https://www.linkedin.com/in/ajay-kumar-jain-b5838b195</t>
  </si>
  <si>
    <t>ajaykjain22@gmail.com</t>
  </si>
  <si>
    <t>+919167481122</t>
  </si>
  <si>
    <t>AGT India is the leading website development and SEO company in Coimbatore, India. We offer various IT services at an affordable cost. AGT India is a professional search engine optimization company in Coimbatore. We offer the best digital marketing services like SEO, SMM, SEM, SMO, etc.,</t>
  </si>
  <si>
    <t>founder 'AJAY KUMAR JAIN' via Signalhire - verify</t>
  </si>
  <si>
    <t>aicanservices.com</t>
  </si>
  <si>
    <t>Yash Gor (Co-Founder); Vedant Awasthi (Founder)</t>
  </si>
  <si>
    <t>https://www.linkedin.com/in/yash-gor-3012b71b4</t>
  </si>
  <si>
    <t>yash@aican.co.in</t>
  </si>
  <si>
    <t>+917575060895</t>
  </si>
  <si>
    <t>https://www.linkedin.com/in/vedant-awasthi</t>
  </si>
  <si>
    <t>+917709792975</t>
  </si>
  <si>
    <t>AICAN is an AI-first product engineering company that helps businesses build scalable software systems and automation solutions. Many companies rely on multiple SaaS tools that only partially fit their workflow, creating fragmented operations and unnecessary costs. Our focus is on replacing this complexity with custom systems designed specifically for how a business operates. We build ... read Aican Private Limited reviews &amp; insights</t>
  </si>
  <si>
    <t>founder 'Yash Gor' via Signalhire - verify | founder 'Vedant Awasthi' via Signalhire - verify</t>
  </si>
  <si>
    <t>aiderpro.com</t>
  </si>
  <si>
    <t>Jisin Joseph (Co-Founder); Renju Sebastian (Co-founder and CEO)</t>
  </si>
  <si>
    <t>https://www.linkedin.com/in/jisin-joseph-42116547</t>
  </si>
  <si>
    <t>jisin@aiderpro.com</t>
  </si>
  <si>
    <t>+918089203004</t>
  </si>
  <si>
    <t>https://www.linkedin.com/in/renju-sebastian-aiderpro</t>
  </si>
  <si>
    <t>+918089203006</t>
  </si>
  <si>
    <t>Incorporated in 2013, endeavor Aiderpro is a professional IT service provider in India. Having derived its names from French word Aider meaning ‘to help’, we leave no stone unturned to justify the reasonability of our name. The primary focus of Aiderpro is to avail an all-under-single-roof service provision for all IT related needs. Starting right ... read AiderPro Technologies reviews &amp; insights</t>
  </si>
  <si>
    <t>founder 'Jisin Joseph' via Signalhire - verify | founder 'Renju Sebastian' via Signalhire - verify</t>
  </si>
  <si>
    <t>ailoitte.com</t>
  </si>
  <si>
    <t>Sunil Kumar (Co-founder &amp; CEO); Khoji .co (Company Owner)</t>
  </si>
  <si>
    <t>https://www.linkedin.com/in/sunilkumar707</t>
  </si>
  <si>
    <t>sunil@ailoitte.com</t>
  </si>
  <si>
    <t>+918867371492</t>
  </si>
  <si>
    <t>https://www.linkedin.com/in/khoji-co-677a40228</t>
  </si>
  <si>
    <t>Stop paying for hours. Start buying outcomes. Ailoitte replaces hourly uncertainty with AI-native teams built for fixed-price, outcome-based delivery. Ailoitte is an AI-native product engineering partner helping founders and enterprises build, launch, and scale digital products with greater speed, clarity, and accountability. We combine product thinking, senior engineering, and AI-native delivery models to turn ideas, ... read Ailoitte reviews &amp; insights</t>
  </si>
  <si>
    <t>founder 'Sunil Kumar' via Signalhire - verify | founder 'Khoji .co' via Signalhire - verify</t>
  </si>
  <si>
    <t>aimbeat.com</t>
  </si>
  <si>
    <t>Abuzaid Ansari (Founder &amp; CEO); Abdul Kadir Ansari (Co-Founder)</t>
  </si>
  <si>
    <t>https://www.linkedin.com/in/abuzaid-ansari-7079b473</t>
  </si>
  <si>
    <t>abuzaid@aimbeat.com</t>
  </si>
  <si>
    <t>+917304888042</t>
  </si>
  <si>
    <t>https://www.linkedin.com/in/abdul-kadir-ansari-7134b371</t>
  </si>
  <si>
    <t>+919699925003</t>
  </si>
  <si>
    <t>Aimbeat is seamlessly combines specialized services in brand awareness, brand advertising solutions, digital marketing, web solutions, and social media advertising to connect the dots for an integrated digital solution for your brand. Aimbeat is one of the fastest growing digital services company, provide web solutions, software development, Mobile app development, digital, e-commerce solutions, internet and ... read Aimbeat reviews &amp; insights</t>
  </si>
  <si>
    <t>founder 'Abuzaid Ansari' via Signalhire - verify | founder 'Abdul Kadir Ansari' via Signalhire - verify</t>
  </si>
  <si>
    <t>aimbeattechnology.com</t>
  </si>
  <si>
    <t>Abdul Kadir Ansari (Co-Founder)</t>
  </si>
  <si>
    <t>abdul.ansari@shipdaak.com</t>
  </si>
  <si>
    <t>Aimbeat Technology is a company that has gained expertise in web designing, development and hosting through the support that we have provided to our clients over the years from our inception in 2011. Adhering to our business motto, “our business is your ultimate success, ”we have worked with more than 500 clients so far. Ranging ... read Aimbeat Technology Pvt Ltd reviews &amp; insights</t>
  </si>
  <si>
    <t>founder 'Abdul Kadir Ansari' via Signalhire - verify</t>
  </si>
  <si>
    <t>airoglobal.com</t>
  </si>
  <si>
    <t>Johnson A. (Founder and CEO); Anjali Devi S (Director)</t>
  </si>
  <si>
    <t>https://www.linkedin.com/in/johnsontaugustine</t>
  </si>
  <si>
    <t>johnson.a@airoglobal.com</t>
  </si>
  <si>
    <t>+917034944777</t>
  </si>
  <si>
    <t>https://www.linkedin.com/in/anjali-devi-s-6697b610b</t>
  </si>
  <si>
    <t>We are one of the top IT consulting and software development solutions providers, we support all kinds of business by developing and creating software based on the requirements that clients demand. Our primary responsibility is creating websites, developing web and mobile apps, designing software, consultancy services, quality assurance, and testing, database designing, business analysis, etc. ... read Airo Global Software reviews &amp; insights</t>
  </si>
  <si>
    <t>founder 'Johnson A.' via Signalhire - verify | founder 'Anjali Devi S' via Signalhire - verify</t>
  </si>
  <si>
    <t>airovo.tech</t>
  </si>
  <si>
    <t>Robiul Hoque (Founder @ Airovo Technologies); Sraboni Khatun (Co-Founder &amp; CMO)</t>
  </si>
  <si>
    <t>https://www.linkedin.com/in/robiul-hoque-90489039</t>
  </si>
  <si>
    <t>robiul@promptgrid.app</t>
  </si>
  <si>
    <t>+919064464170</t>
  </si>
  <si>
    <t>https://www.linkedin.com/in/sraboni-khatun-305071242</t>
  </si>
  <si>
    <t>+917709781847</t>
  </si>
  <si>
    <t>Airovo Technologies is a modern software engineering company focused on building intelligent, scalable, and future-ready digital products. Founded in 2022, we help startups, SMEs, and enterprises accelerate innovation through AI-driven development, thoughtful design, and robust engineering practices. We specialize in AI-powered SaaS product development, automation systems, custom web and mobile applications, cloud-native engineering, API platforms, ... read Airovo Technologies reviews &amp; insights</t>
  </si>
  <si>
    <t>founder 'Robiul Hoque' via Signalhire - verify | founder 'Sraboni Khatun' via Signalhire - verify</t>
  </si>
  <si>
    <t>airoxa.in</t>
  </si>
  <si>
    <t>Gaurang Vyas (Partner)</t>
  </si>
  <si>
    <t>https://www.linkedin.com/in/gdvyas</t>
  </si>
  <si>
    <t>gaurang@airoxa.in</t>
  </si>
  <si>
    <t>+919427052199</t>
  </si>
  <si>
    <t>At Airoxa, we’re driven by one mission: to deliver innovative IT solutions that help businesses succeed in a digital-first world. With a focus on cutting-edge technologies like AI, cloud computing, and custom software development, we work closely with clients to turn challenges into opportunities. Our team of experienced developers, consultants, and engineers is committed to ... read AirOxa Innovative Solutions reviews &amp; insights</t>
  </si>
  <si>
    <t>founder 'Gaurang Vyas' via Signalhire - verify</t>
  </si>
  <si>
    <t>aiveda.io</t>
  </si>
  <si>
    <t>Laher Khurana A. (Founder); Varun Ajmani (Chief Technology Officer)</t>
  </si>
  <si>
    <t>https://www.linkedin.com/in/laher-khurana-a-88b185a</t>
  </si>
  <si>
    <t>laher@aiveda.io</t>
  </si>
  <si>
    <t>+919717020094</t>
  </si>
  <si>
    <t>https://www.linkedin.com/in/vajmani</t>
  </si>
  <si>
    <t>+919871496544</t>
  </si>
  <si>
    <t>At AIVeda, we are pioneers in crafting AI-driven solutions that are not just about innovation but about transformation. Specializing in data-driven strategies, we harness the power of advanced analytics, cloud computing, and distributed systems to provide businesses with predictive insights, seamless cloud migration, and scalable computing resources. Our solutions are designed to empower organizations with ... read AIVEDA reviews &amp; insights</t>
  </si>
  <si>
    <t>founder 'Laher Khurana A.' via Signalhire - verify | founder 'Varun Ajmani' via Signalhire - verify</t>
  </si>
  <si>
    <t>akilisystems.in</t>
  </si>
  <si>
    <t>Praveen Upadhayaya (CEO &amp; Founder); Akili Systems Private Limited (Director)</t>
  </si>
  <si>
    <t>https://www.linkedin.com/in/praveen-upadhayaya</t>
  </si>
  <si>
    <t>praveen@akilisystems.in</t>
  </si>
  <si>
    <t>+918744889393</t>
  </si>
  <si>
    <t>Akili Systems Private Ltd delivers a new approach to business application software. We inspire businesses by offering choices and unprecedented flexibility. We provide you with the best ERP Software development, Odoo Software development, CRM, HRMS, E-commerce website development, Business Management software development, Custom Software development services.</t>
  </si>
  <si>
    <t>founder 'Praveen Upadhayaya' via Signalhire - verify | founder 'Akili Systems Private Limited' via Signalhire - verify</t>
  </si>
  <si>
    <t>aktivsoftware.com</t>
  </si>
  <si>
    <t>Devang Mehta (Co-Founder); Jainesh Shah (Co-Founder)</t>
  </si>
  <si>
    <t>https://www.linkedin.com/in/devangme</t>
  </si>
  <si>
    <t>devang@aktivsoftware.com</t>
  </si>
  <si>
    <t>+919727797128</t>
  </si>
  <si>
    <t>https://www.linkedin.com/in/jainesh-shah-a1936a10</t>
  </si>
  <si>
    <t>+19193744555</t>
  </si>
  <si>
    <t>Aktiv Software specializes in digital transformation through enterprise resource planning (ERP) implementation services. We work closely with businesses to understand their unique needs and tailor ERP solutions like Odoo to help them streamline their operations, improve efficiency, and reduce costs. Our Odoo ERP implementation services include consulting, customization, implementation, training, and support. Our team of ... read Aktiv Software reviews &amp; insights</t>
  </si>
  <si>
    <t>founder 'Devang Mehta' via Signalhire - verify | founder 'Jainesh Shah' via Signalhire - verify</t>
  </si>
  <si>
    <t>alcax.com</t>
  </si>
  <si>
    <t>Vince Arora (Business Director)</t>
  </si>
  <si>
    <t>https://www.linkedin.com/in/vince-arora</t>
  </si>
  <si>
    <t>vince.arora@alcax.com</t>
  </si>
  <si>
    <t>+918744945945</t>
  </si>
  <si>
    <t>We build innovative mobile apps by deploying process methodologies that offers high performance business excellence, perfectly matched for today's impulsive digital environment. Alcax is a leading mobile app development company based in india with over 50 manyears experience and a strong workforce of 150+ developers. Alcax Solutions is an ISO:9001 certified software and mobile app ... read Alcax Solutions reviews &amp; insights</t>
  </si>
  <si>
    <t>founder 'Vince Arora' via Signalhire - verify</t>
  </si>
  <si>
    <t>aleaitsolutions.com</t>
  </si>
  <si>
    <t>Ashutosh Bhatia (Founder); Megha Mutreja (Chief Executive Officer)</t>
  </si>
  <si>
    <t>https://www.linkedin.com/in/ashutoshbhatia</t>
  </si>
  <si>
    <t>ash@aleaitsolutions.com</t>
  </si>
  <si>
    <t>+911413244007</t>
  </si>
  <si>
    <t>https://www.linkedin.com/in/meghamutreja</t>
  </si>
  <si>
    <t>+919610364292</t>
  </si>
  <si>
    <t>Alea IT Solutions, a multinational company having offices in India, United Kingdom, Singapore is a global service provider, delivering a wide variety of products and services to its global clients through its well-qualified team of IT professionals. Alea is focused on delivering the very best quality and mainly works in Website Design, Website Development, Application ... read ALEAIT SOLUTIONS PVT. LTD. reviews &amp; insights</t>
  </si>
  <si>
    <t>founder 'Ashutosh Bhatia' via Signalhire - verify | founder 'Megha Mutreja' via Signalhire - verify</t>
  </si>
  <si>
    <t>allianzetechnologies.com</t>
  </si>
  <si>
    <t>Binoj Nair (Founder &amp; CEO)</t>
  </si>
  <si>
    <t>https://www.linkedin.com/in/binair</t>
  </si>
  <si>
    <t>binoj.nair@allianzebpo.com</t>
  </si>
  <si>
    <t>+919947471269</t>
  </si>
  <si>
    <t>Allianze Technologies has helped hundreds of national and international clients to achieve new heights of business endeavors. We deliver innovative and cutting-edge solutions for all your digital media needs to prosper your ideal business and services at affordable price. Our professionals always keep an eye on latest technologies to make you a step ahead of ... read Allianze Technologies reviews &amp; insights</t>
  </si>
  <si>
    <t>founder 'Binoj Nair' via Signalhire - verify</t>
  </si>
  <si>
    <t>alliedge.in</t>
  </si>
  <si>
    <t>Deep Panchal (Managing Director &amp; CEO); Vanshika Panchal (Chief Marketing Officer)</t>
  </si>
  <si>
    <t>https://www.linkedin.com/in/deep-panchal-alliedgegroup</t>
  </si>
  <si>
    <t>deep@alliedge.in</t>
  </si>
  <si>
    <t>+919913204659</t>
  </si>
  <si>
    <t>https://www.linkedin.com/in/vanshika-panchal-637bb9262</t>
  </si>
  <si>
    <t>Alliedge Group is a leading IT solutions company with a focus on providing exceptional IT services to our clients. We strive to exceed your expectations and help you achieve your business goals. Our team of experienced professionals and expertise have been at the forefront of technology for over 10 years.</t>
  </si>
  <si>
    <t>founder 'Deep Panchal' via Signalhire - verify | founder 'Vanshika Panchal' via Signalhire - verify</t>
  </si>
  <si>
    <t>alphaklick.com</t>
  </si>
  <si>
    <t>Abhishek B. Bhatnagar (Founder &amp; CEO | IT Business Consultant, Sales Head, Owner)</t>
  </si>
  <si>
    <t>https://www.linkedin.com/in/abhishekbhatnagar18</t>
  </si>
  <si>
    <t>bhatnagar.attitude@gmail.com</t>
  </si>
  <si>
    <t>+919672995594</t>
  </si>
  <si>
    <t>We are young and energetic technical savvies and in hungry of latest innovation technologies on web and Mobile. We will apply all the technology evolution strategies in our projects. Our smart work will often describe who we are! We are providing cost effective services &amp; quality website development and Mobile Development around the globe. We ... read AlphaKlick Solutions reviews &amp; insights</t>
  </si>
  <si>
    <t>founder 'Abhishek B. Bhatnagar' via Signalhire - verify</t>
  </si>
  <si>
    <t>alphre.com</t>
  </si>
  <si>
    <t>Simon Thomas (Founder)</t>
  </si>
  <si>
    <t>https://www.linkedin.com/in/simon-thomas-98165922</t>
  </si>
  <si>
    <t>simon@iviewproperty.tv</t>
  </si>
  <si>
    <t>+441613270724</t>
  </si>
  <si>
    <t>Alphre is an Indian information technology company that provides software development, business consulting, information technology and outsourcing services. The company was founded in Chennai.</t>
  </si>
  <si>
    <t>founder 'Simon Thomas' via Signalhire - verify</t>
  </si>
  <si>
    <t>alpinesoftsolution.com</t>
  </si>
  <si>
    <t>Akshit Sharma (Founder); Jack Lally (CEO)</t>
  </si>
  <si>
    <t>https://www.linkedin.com/in/akshit-sharma-771271184</t>
  </si>
  <si>
    <t>akshitsharma11cd@gmail.com</t>
  </si>
  <si>
    <t>+918078687192</t>
  </si>
  <si>
    <t>https://www.linkedin.com/in/jack-lally7</t>
  </si>
  <si>
    <t>+13147815177</t>
  </si>
  <si>
    <t>Alpine Software is a Full Cycle Mobile App Development Company. It provides services like UX/UI Design, Native Mobile App Development, Hybrid Mobile App Development, App Maintenance. The company head office is located in Jaipur, Rajasthan, India. The company is well known for their customer service, reasonable estimates and their willingness to keep their clients on ... read Alpine Software reviews &amp; insights</t>
  </si>
  <si>
    <t>founder 'Akshit Sharma' via Signalhire - verify | founder 'Jack Lally' via Signalhire - verify</t>
  </si>
  <si>
    <t>altd.in</t>
  </si>
  <si>
    <t>Tomy Paul (Co-Founder); Linish Tomy (Co-Founder)</t>
  </si>
  <si>
    <t>https://www.linkedin.com/in/tomypaul</t>
  </si>
  <si>
    <t>tomypaul@altd.in</t>
  </si>
  <si>
    <t>+919744957035</t>
  </si>
  <si>
    <t>https://www.linkedin.com/in/linish-tomy-58403939</t>
  </si>
  <si>
    <t>+919847421873</t>
  </si>
  <si>
    <t>ALT-D Technologies is the brainchild of four seasoned software engineers who took pride in what they do and believed that they could make the world a better place using technology. They believed that creating memorable experiences are the best way to connect with consumers and ALT-D was born to serve this purpose. With customers at ... read ALT-D Technologies LLP reviews &amp; insights</t>
  </si>
  <si>
    <t>founder 'Tomy Paul' via Signalhire - verify | founder 'Linish Tomy' via Signalhire - verify</t>
  </si>
  <si>
    <t>altersquare.io</t>
  </si>
  <si>
    <t>Taher Pardawala (CEO and Co-Founder); Huzefa Motiwala (CAO &amp; Co-Founder)</t>
  </si>
  <si>
    <t>https://www.linkedin.com/in/startup-product-development-expert</t>
  </si>
  <si>
    <t>taher.p@kennect.io</t>
  </si>
  <si>
    <t>+919082930525</t>
  </si>
  <si>
    <t>https://www.linkedin.com/in/product-development-for-software-companies</t>
  </si>
  <si>
    <t>+919819790052</t>
  </si>
  <si>
    <t>AlterSquare is a leading technology consulting and software development company headquartered in Mumbai, India. We serve as an augmented tech team providing engineering as a service, with a strong focus on digital transformation, cloud solutions, and custom software development. Our Approach We specialize in crafting superior, results-driven MVPs for startups while also delivering enterprise-grade solutions ... read AlterSquare reviews &amp; insights</t>
  </si>
  <si>
    <t>founder 'Taher Pardawala' via Signalhire - verify | founder 'Huzefa Motiwala' via Signalhire - verify</t>
  </si>
  <si>
    <t>ambab.com</t>
  </si>
  <si>
    <t>Bhumi Jhaveri (Deputy Director)</t>
  </si>
  <si>
    <t>https://www.linkedin.com/in/bhumi-jhaveri-45662115</t>
  </si>
  <si>
    <t>bhumi@ambab.com</t>
  </si>
  <si>
    <t>+919820543325</t>
  </si>
  <si>
    <t>Our mission is to provide businesses with precise and perfect Omni-channel Solutions that will allow customers to transact 24 hours a day, 7 days a week through their preferred channels. We believe in evolving with the times, so we strive to embrace every change, from the most cutting-edge technologies to the most popular trends. At ... read Ambab Infotech Pvt. Ltd. reviews &amp; insights</t>
  </si>
  <si>
    <t>founder 'Bhumi Jhaveri' via Signalhire - verify</t>
  </si>
  <si>
    <t>ambiguous.in</t>
  </si>
  <si>
    <t>Shivani Saxena (Project Head); Deepanshu  Kumar Gautam (Digital Marketer)</t>
  </si>
  <si>
    <t>https://www.linkedin.com/in/shivanisaxena011</t>
  </si>
  <si>
    <t>shivani@bizaccenknnect.com</t>
  </si>
  <si>
    <t>+911203113251</t>
  </si>
  <si>
    <t>+917053756926</t>
  </si>
  <si>
    <t>- Website design, Development Company and providing best digital marketing such as – SMO, PPC, SEO services in Noida, Delhi NCR, India. we offer affordable price with quality services for website development and to all your requirements</t>
  </si>
  <si>
    <t>founder 'Shivani Saxena' via Signalhire - verify | founder 'Deepanshu  Kumar Gautam' via Signalhire - verify</t>
  </si>
  <si>
    <t>amplewebsol.com</t>
  </si>
  <si>
    <t>Tapankumar Soni (Founder &amp; CEO); Kinjal Soni (Co-Founder)</t>
  </si>
  <si>
    <t>https://www.linkedin.com/in/tnsoni</t>
  </si>
  <si>
    <t>tapan@amplewebsol.com</t>
  </si>
  <si>
    <t>+919033372091</t>
  </si>
  <si>
    <t>https://www.linkedin.com/in/kinjal-soni-322239233</t>
  </si>
  <si>
    <t>Ample Websol is a highly experienced and professional company for Corporate Website Designing, Application Development, Search Engine Marketing and Flash Development. Ample Websol is an established web development company delivering web development services of any complexity to clients worldwide. Being in IT business for over 10 years now Ample Websol has a strong team of ... read Ample Websol reviews &amp; insights</t>
  </si>
  <si>
    <t>founder 'Tapankumar Soni' via Signalhire - verify | founder 'Kinjal Soni' via Signalhire - verify</t>
  </si>
  <si>
    <t>analogueitsolutions.com</t>
  </si>
  <si>
    <t>Veturi Srikanth (Founder and Managing Director of AnalogueIT-Solutions); Hemant Kumar (Full Stack Engineer)</t>
  </si>
  <si>
    <t>https://www.linkedin.com/in/srikanth-veturi</t>
  </si>
  <si>
    <t>srikanth@analogit.in</t>
  </si>
  <si>
    <t>+918919088163</t>
  </si>
  <si>
    <t>https://www.linkedin.com/in/ceo-hemnix</t>
  </si>
  <si>
    <t>Analogue is a Best mobile app development company in Hyderabad that specialises in creating and enhancing user experience through the design and development of mobile and web applications. Our focus lies in helping businesses expand and reach their specific customer base by collaborating with individuals and organisations to conceptualise and promote their products.</t>
  </si>
  <si>
    <t>founder 'Veturi Srikanth' via Signalhire - verify | founder 'Hemant Kumar' via Signalhire - verify</t>
  </si>
  <si>
    <t>analytixit.com</t>
  </si>
  <si>
    <t>Satish Patel (CEO and Founder); Yashvir Maharaj (Founder and Managing Director)</t>
  </si>
  <si>
    <t>https://www.linkedin.com/in/satishnpatel</t>
  </si>
  <si>
    <t>snpatel@analytix.com</t>
  </si>
  <si>
    <t>+19787714713</t>
  </si>
  <si>
    <t>https://www.linkedin.com/in/yashvir-maharaj-229ba42</t>
  </si>
  <si>
    <t>+910827728161</t>
  </si>
  <si>
    <t>Analytix Solutions helps companies tackle these types of challenges by empowering business owners to confidently make informed decisions that will positively impact their company’s profitability. We are a single-source provider of integrated solutions across multiple functional areas and disciplines. Through a combination of cross-disciplinary expertise, technological aptitude, and deep domain experience, we arm our clients ... read Analytix Solutions reviews &amp; insights</t>
  </si>
  <si>
    <t>founder 'Satish Patel' via Signalhire - verify | founder 'Yashvir Maharaj' via Signalhire - verify</t>
  </si>
  <si>
    <t>anciletech.com</t>
  </si>
  <si>
    <t>Ajay Pandey (Director)</t>
  </si>
  <si>
    <t>https://www.linkedin.com/in/ajay-pandey-72684321</t>
  </si>
  <si>
    <t>ajay.pandey@anciletech.com</t>
  </si>
  <si>
    <t>+917411697456</t>
  </si>
  <si>
    <t>We are bunch of passionate people dedicated to cater to your IT needs, managed outsourcing and internet strategy We have worked on a wide range of enterprise clients, digital agencies and emerging companies globally and across various industry verticals such as BFSI, MPE, travel &amp; hospitality, education, e-governance etc. from all around the world. We ... read Ancile Technologies Pvt Ltd reviews &amp; insights</t>
  </si>
  <si>
    <t>founder 'Ajay Pandey' via Signalhire - verify</t>
  </si>
  <si>
    <t>ancrewglobal.com</t>
  </si>
  <si>
    <t>Deeppak Renuse (Director); Abhijeet Chauhan (Director)</t>
  </si>
  <si>
    <t>https://www.linkedin.com/in/deeppak-renuse-bb40261a</t>
  </si>
  <si>
    <t>d.renuse@ancrewglobal.com</t>
  </si>
  <si>
    <t>+919881573870</t>
  </si>
  <si>
    <t>https://www.linkedin.com/in/abhijeet-chauhan-bbb066164</t>
  </si>
  <si>
    <t>+918983022269</t>
  </si>
  <si>
    <t>Ancrew Global Services is a cloud consulting and IT solutions provider offering cloud migration, modernization, managed services, DevOps, data engineering, AI solutions, cybersecurity, and IT support for startups and enterprises. We help businesses accelerate digital transformation across AWS, Azure, and Google Cloud.</t>
  </si>
  <si>
    <t>founder 'Deeppak Renuse' via Signalhire - verify | founder 'Abhijeet Chauhan' via Signalhire - verify</t>
  </si>
  <si>
    <t>annexcode.com</t>
  </si>
  <si>
    <t>Himanshu Sethi (Founder)</t>
  </si>
  <si>
    <t>https://www.linkedin.com/in/himanshusethi25</t>
  </si>
  <si>
    <t>himanshusethi25@gmail.com</t>
  </si>
  <si>
    <t>+919888301708</t>
  </si>
  <si>
    <t>We Provide Creative Web Solutions. To Grow Your Business Online. Annexcode is the fastest growing Digital Marketing and Best IT company in INDIA | USA | SPAIN | DUBAI. We adopt forward-thinking solutions in developing concepts, technologies and business systems to be on the cutting edge and to create more value for our clients. One ... read ANNEXCODE reviews &amp; insights</t>
  </si>
  <si>
    <t>founder 'Himanshu Sethi' via Signalhire - verify</t>
  </si>
  <si>
    <t>antsglobe.com</t>
  </si>
  <si>
    <t>Antash Ahmed (Director &amp; Founder); Pooja Shrivastav (Human Resources Director)</t>
  </si>
  <si>
    <t>https://www.linkedin.com/in/antash-ahmed</t>
  </si>
  <si>
    <t>antash.ahmed@antsglobe.com</t>
  </si>
  <si>
    <t>+919766914044</t>
  </si>
  <si>
    <t>https://www.linkedin.com/in/pooja-shrivastav</t>
  </si>
  <si>
    <t>We are the leading IT consulting company in india having expertise in providing SAAS &amp; SAAP solutions, corporate branding, UI/UX designing, E-commerce and portal development, Android &amp; IOS mobile apps development, customized ERP software solutions and digital marketing services for business brands. We encourage innovation and experimentation with fresh ideas, while considering the clients requirements ... read Antsglobe Technologies reviews &amp; insights</t>
  </si>
  <si>
    <t>founder 'Antash Ahmed' via Signalhire - verify | founder 'Pooja Shrivastav' via Signalhire - verify</t>
  </si>
  <si>
    <t>anviam.com</t>
  </si>
  <si>
    <t>Ankur Sharma (Director | Co-Founder); Aman Deep Sharma (Chief Executive Officer)</t>
  </si>
  <si>
    <t>https://www.linkedin.com/in/ankur-sharma-567b4a107</t>
  </si>
  <si>
    <t>ankursharma.challenger@gmail.com</t>
  </si>
  <si>
    <t>+910480473309</t>
  </si>
  <si>
    <t>https://www.linkedin.com/in/amands</t>
  </si>
  <si>
    <t>+919417488506</t>
  </si>
  <si>
    <t>Anviam Solutions Private Limited is the leading software development company in India and USA offers the multiple utmost quality services like web development, automation, Digital marketing, android development, data science artificial Intelligence, and machine learning. We have been working in this field for the last 7 years and also tied up with many international companies. ... read Anviam Solutions reviews &amp; insights</t>
  </si>
  <si>
    <t>founder 'Ankur Sharma' via Signalhire - verify | founder 'Aman Deep Sharma' via Signalhire - verify</t>
  </si>
  <si>
    <t>apagen.com</t>
  </si>
  <si>
    <t>Prateek Jaiswal (Founder, Managing Director &amp; Director - Projects); Gaurav Kumar (Head of Service Excellence &amp; Delivery)</t>
  </si>
  <si>
    <t>https://www.linkedin.com/in/prateekjaiswal86</t>
  </si>
  <si>
    <t>prateek.jaiswal@apagen.com</t>
  </si>
  <si>
    <t>+919650333133</t>
  </si>
  <si>
    <t>https://www.linkedin.com/in/gauravkumar4</t>
  </si>
  <si>
    <t>+919971800665</t>
  </si>
  <si>
    <t>“Apagen Solutions Pvt. Ltd.” provides odoo based business Applications and Consulting Services to growing businesses in a wide range of industries as leading Odoo Service provider. Being a strong advocator of open source philosophy, our odoo solutions are 100% based on open source technologies. We are a business advantage driven company. Our clients business scope ... read Apagen Solutions Pvt. Ltd. reviews &amp; insights</t>
  </si>
  <si>
    <t>founder 'Prateek Jaiswal' via Signalhire - verify | founder 'Gaurav Kumar' via Signalhire - verify</t>
  </si>
  <si>
    <t>apparrant.com</t>
  </si>
  <si>
    <t>Sachin Chugh (Co-Founder); Apparrant Technologies (Digital Marketing Manager)</t>
  </si>
  <si>
    <t>https://www.linkedin.com/in/sachin-chugh-apparrant</t>
  </si>
  <si>
    <t>sachin@apparrant.com</t>
  </si>
  <si>
    <t>+17322187577</t>
  </si>
  <si>
    <t>https://www.linkedin.com/in/apparranttech</t>
  </si>
  <si>
    <t>We are an Information Technology consultancy based in Noida with a focus on Web and Mobile Application Development. We specialize in creating End-to-End Experiences for businesses of all sizes, working in different domains. Our team of Designer, Developers, Project Managers, and Business Developers deliver carefully crafted solutions which not only fulfil the business goals, but ... read Apparrant Technologies reviews &amp; insights</t>
  </si>
  <si>
    <t>founder 'Sachin Chugh' via Signalhire - verify | founder 'Apparrant Technologies' via Signalhire - verify</t>
  </si>
  <si>
    <t>appcosoftware.com</t>
  </si>
  <si>
    <t>SONU SHARMA ( सोनू शर्मा ) (Digital Marketing Intern)</t>
  </si>
  <si>
    <t>https://www.linkedin.com/in/sonu-sharma-%E0%A4%B8%E0%A5%8B%E0%A4%A8%E0%A5%82-%E0%A4%B6%E0%A4%B0%E0%A5%8D%E0%A4%AE%E0%A4%BE-2b1361218</t>
  </si>
  <si>
    <t>sonusharmaaamala16122003@gmail.com</t>
  </si>
  <si>
    <t>+918209108461</t>
  </si>
  <si>
    <t>Appco Software is a custom software development and quality assurance vendor based in the India, with headquarters in Austin, Texas. We offer a wealth of technical and business expertise, with experience creating software solutions for Indian and US companies in almost every industry. We create diverse, complex web and mobile solutions to meet every client’s ... read Appco Software reviews &amp; insights</t>
  </si>
  <si>
    <t>founder 'SONU SHARMA ( सोनू शर्मा )' via Signalhire - verify</t>
  </si>
  <si>
    <t>appcrunk.com</t>
  </si>
  <si>
    <t>Samar Shakeel (Managing Director)</t>
  </si>
  <si>
    <t>https://www.linkedin.com/in/samar-shakeel-5b4051a0</t>
  </si>
  <si>
    <t>samar@appcrunk.com</t>
  </si>
  <si>
    <t>+919854300075</t>
  </si>
  <si>
    <t>Appcrunk Technologies Private Limited is a software development and digital transformation company delivering innovative web, mobile, cloud, AI, and enterprise solutions. With expertise across multiple industries, we help organizations streamline operations, enhance customer experiences, and achieve business growth through scalable, secure, and technology-driven products.</t>
  </si>
  <si>
    <t>founder 'Samar Shakeel' via Signalhire - verify</t>
  </si>
  <si>
    <t>appface.in</t>
  </si>
  <si>
    <t>Dr. Edvin Kollanoor (Founder &amp; CEO | Digital Capital, DPI &amp; Digital Assets Advisory – Appface Technologies Pvt. Ltd.); Sham Sundar (Owner)</t>
  </si>
  <si>
    <t>https://www.linkedin.com/in/edvinvarghese</t>
  </si>
  <si>
    <t>edvin@appface.in</t>
  </si>
  <si>
    <t>+918040945125</t>
  </si>
  <si>
    <t>https://www.linkedin.com/in/sham-sundar-b03011255</t>
  </si>
  <si>
    <t>Appface is a technology company which helps enterprises gain competitive edge by leveraging the right mix of technology, people and processes to achieve strategic objectives. Our team of domain experts ensures that technology initiatives are tied to business imperatives through quantiﬁable metrics. The approach is consultative and business-led: we ﬁrst understand the business challenges and ... read Appface Technologies Pvt Ltd reviews &amp; insights</t>
  </si>
  <si>
    <t>founder 'Dr. Edvin Kollanoor' via Signalhire - verify | founder 'Sham Sundar' via Signalhire - verify</t>
  </si>
  <si>
    <t>appfinz.com</t>
  </si>
  <si>
    <t>Soniya Mishra (Co-Founder); Kishan Kumar Mishra (Founder &amp; Director)</t>
  </si>
  <si>
    <t>https://www.linkedin.com/in/soniya-mishra-appfinz</t>
  </si>
  <si>
    <t>soniyarajput122@gmail.com</t>
  </si>
  <si>
    <t>+919821133181</t>
  </si>
  <si>
    <t>https://www.linkedin.com/in/kishankrmishra</t>
  </si>
  <si>
    <t>+918340725097</t>
  </si>
  <si>
    <t>Appfinz has been in the industry for more than 7 years, holding a core motive to make a change in the world by providing solutions perfectly crafted with intelligence and creativity. Since its origin in 2011, the company has been awarded by many prestigious awards and successfully achieved multiple milestones. Bestowed with pure professionalism and ... read Appfinz Technologies reviews &amp; insights</t>
  </si>
  <si>
    <t>founder 'Soniya Mishra' via Signalhire - verify | founder 'Kishan Kumar Mishra' via Signalhire - verify</t>
  </si>
  <si>
    <t>appicsoftwares.com</t>
  </si>
  <si>
    <t>Nitesh Jain 🤝 (Founder &amp; Managing Director); Shubham Pareek (Chief Executive Officer)</t>
  </si>
  <si>
    <t>https://www.linkedin.com/in/nitjn</t>
  </si>
  <si>
    <t>nitesh19jain@gmail.com</t>
  </si>
  <si>
    <t>+919887354080</t>
  </si>
  <si>
    <t>https://www.linkedin.com/in/shubham-pareek-entrepreneur</t>
  </si>
  <si>
    <t>+918233801424</t>
  </si>
  <si>
    <t>Appic Softwares is a software development company that specializes in creating custom web and mobile applications. Our team provides full-cycle development services — starting from research and prototyping, through to design and implementation, testing and optimization, deployment and maintenance. We use Node.js, React Native, Angular, and GraphQL to create software that meets the highest performance ... read Appic Softwares reviews &amp; insights</t>
  </si>
  <si>
    <t>founder 'Nitesh Jain 🤝' via Signalhire - verify | founder 'Shubham Pareek' via Signalhire - verify</t>
  </si>
  <si>
    <t>appilytech.com</t>
  </si>
  <si>
    <t>Bala Devaraj (Founder | SaaS Platform Architect | Mobile Apps | Web Apps | Consulting)</t>
  </si>
  <si>
    <t>https://www.linkedin.com/in/bala-devaraj</t>
  </si>
  <si>
    <t>bala@appi.ly</t>
  </si>
  <si>
    <t>+919900877442</t>
  </si>
  <si>
    <t>We area premier web and mobile app development company based in Bangalore. Since our inception in 2014, we have delivered top-notch application development services to businesses worldwide. With our decade-long experience, we have developed deep technical expertise and a robust project delivery framework. OUR MISSION Our mission is to empower startups and businesses by delivering ... read APPiLY Technologies reviews &amp; insights</t>
  </si>
  <si>
    <t>founder 'Bala Devaraj' via Signalhire - verify</t>
  </si>
  <si>
    <t>appindia.co.in</t>
  </si>
  <si>
    <t>Maharishi R B (Co-Founder &amp; CEO); Murphy Asharaf (Co-Founder)</t>
  </si>
  <si>
    <t>https://www.linkedin.com/in/maharishirb-supernova-ai-app</t>
  </si>
  <si>
    <t>adengineindia@gmail.com</t>
  </si>
  <si>
    <t>+917373139405</t>
  </si>
  <si>
    <t>https://www.linkedin.com/in/murphy-asharaf-662bb718</t>
  </si>
  <si>
    <t>+971529473218</t>
  </si>
  <si>
    <t>Want to get a customized mobile application? We at App India here help you to get the best options ensuring that you get access to all feasible solutions. Our experts well familiar with modern technologies and thus you can get all feasible solutions fulfilling your specifications in real-time.</t>
  </si>
  <si>
    <t>founder 'Maharishi R B' via Signalhire - verify | founder 'Murphy Asharaf' via Signalhire - verify</t>
  </si>
  <si>
    <t>appscomp.com</t>
  </si>
  <si>
    <t>Prasanna Kandeepan (Founder &amp; Chief Executive Officer); Preethika Balaji (Director)</t>
  </si>
  <si>
    <t>https://www.linkedin.com/in/prasanna-kandeepan-504b5416</t>
  </si>
  <si>
    <t>prasannak@appscomp.com</t>
  </si>
  <si>
    <t>+919894647733</t>
  </si>
  <si>
    <t>https://www.linkedin.com/in/preethikabalaji</t>
  </si>
  <si>
    <t>AppsComp Widgets is an Odoo ERP implementation and customization company, which caters services to different industries for USA, Australia, UAE, India, and globally. Furthermore, our services include Web development, UI/UX design, Shopify, E-commerce, WordPress, Content Writing, SEO, SMM, and so forth. In addition, we provide call center services to USA. We have been in this ... read Appscomp Widgets Pvt Ltd., reviews &amp; insights</t>
  </si>
  <si>
    <t>founder 'Prasanna Kandeepan' via Signalhire - verify | founder 'Preethika Balaji' via Signalhire - verify</t>
  </si>
  <si>
    <t>appsimity.com</t>
  </si>
  <si>
    <t>Meenakshi Sharma (CEO); Amrit kaur (Business Development Manager)</t>
  </si>
  <si>
    <t>https://www.linkedin.com/in/meenakshi-sharma-a95875103</t>
  </si>
  <si>
    <t>meenakshi.sharma@appsimity.com</t>
  </si>
  <si>
    <t>+919818699241</t>
  </si>
  <si>
    <t>https://www.linkedin.com/in/amrit-kaur-65363013a</t>
  </si>
  <si>
    <t>Appsimity Solutions is well known company for Software Development and . We employ futuristic approach while developing Android and iPhone applications.</t>
  </si>
  <si>
    <t>founder 'Meenakshi Sharma' via Signalhire - verify | founder 'Amrit kaur' via Signalhire - verify</t>
  </si>
  <si>
    <t>appsinvo.com</t>
  </si>
  <si>
    <t>NIKHIL LAMBA (CEO &amp; Founder)</t>
  </si>
  <si>
    <t>https://www.linkedin.com/in/nikhillamba</t>
  </si>
  <si>
    <t>nikhil.lamba@appsinvo.com</t>
  </si>
  <si>
    <t>+919971531430</t>
  </si>
  <si>
    <t>We develop and implement technology solutions to improve our clients’ productivity and efficiency—and may run parts of their operations on their behalf. Ultimately, we enable our clients to become high-performance businesses. The AppsInvo Way is how we do things, how we innovate, collaborate, operate and deliver value.It’s how we interact with our clients—and each other. ... read Appsinvo Pvt. Ltd. reviews &amp; insights</t>
  </si>
  <si>
    <t>founder 'NIKHIL LAMBA' via Signalhire - verify</t>
  </si>
  <si>
    <t>appstean.com</t>
  </si>
  <si>
    <t>Atul Jain (COO &amp; Co-Founder); Anil Jain (CEO &amp; Director Client Success)</t>
  </si>
  <si>
    <t>https://www.linkedin.com/in/atuljain1502</t>
  </si>
  <si>
    <t>atul@processmaster.in</t>
  </si>
  <si>
    <t>+917828036260</t>
  </si>
  <si>
    <t>https://www.linkedin.com/in/aniljain76</t>
  </si>
  <si>
    <t>+919819233101</t>
  </si>
  <si>
    <t>Appstean Infotech Pvt Ltd, an ISO 9001:2015 certified organization driven by the passion to provide unparalleled agility, maximum customer satisfaction, and peerless digital performance. Our team is our greatest asset. We encourage creativity, innovation, and diversity among the workforce – which define our work standards, quality, and ethics. Appstean's brainiac team is catering its services ... read Appstean reviews &amp; insights</t>
  </si>
  <si>
    <t>founder 'Atul Jain' via Signalhire - verify | founder 'Anil Jain' via Signalhire - verify</t>
  </si>
  <si>
    <t>appsvolt.com</t>
  </si>
  <si>
    <t>Kamal Shah (Founder &amp; CEO); Sujal Shah (Partner &amp; COO)</t>
  </si>
  <si>
    <t>https://www.linkedin.com/in/kaykamalshah</t>
  </si>
  <si>
    <t>kshah@remotelyfi.com</t>
  </si>
  <si>
    <t>+18882777101</t>
  </si>
  <si>
    <t>https://www.linkedin.com/in/sujal-shah1986</t>
  </si>
  <si>
    <t>+917600026364</t>
  </si>
  <si>
    <t>Appsvolt is a Global Software Development and Consulting Organization with a specialized focus on providing Software, Mobile, and Web Application Development Services to our Client globally. We commit and delivers the best of consulting services which bring substantial savings and highest quality of services. We invest our pool of high end architectural, design &amp; testing ... read Appsvolt reviews &amp; insights</t>
  </si>
  <si>
    <t>founder 'Kamal Shah' via Signalhire - verify | founder 'Sujal Shah' via Signalhire - verify</t>
  </si>
  <si>
    <t>appther.com</t>
  </si>
  <si>
    <t>Anuj Sharma (Co-Founder); Vipin Pachauri (Co-Founder)</t>
  </si>
  <si>
    <t>https://www.linkedin.com/in/anuj-sharma1</t>
  </si>
  <si>
    <t>anuj@appther.com</t>
  </si>
  <si>
    <t>+919717591416</t>
  </si>
  <si>
    <t>+15622637567</t>
  </si>
  <si>
    <t>Appther is a mobile app and website developemnt company, we have developed more than 50+ projects. In our team we have good developer, tester and UI designer who always deliver good work to our clients.</t>
  </si>
  <si>
    <t>founder 'Anuj Sharma' via Signalhire - verify | founder 'Vipin Pachauri' via Signalhire - verify</t>
  </si>
  <si>
    <t>apptians.com</t>
  </si>
  <si>
    <t>Swastik Saraf (Founder); Apptians Digital Marketing Agency (Business Owner)</t>
  </si>
  <si>
    <t>https://www.linkedin.com/in/swastiksaraf</t>
  </si>
  <si>
    <t>swastiksaraf93@gmail.com</t>
  </si>
  <si>
    <t>+17142220584</t>
  </si>
  <si>
    <t>https://www.linkedin.com/in/apptians</t>
  </si>
  <si>
    <t>Apptians is the best SEO Company in Delhi NCR, Noida, Gurgaon, Faridabad, India providing digital marketing services to its customers. We are a top digital marketing company in New Delhi NCR. We do SEO, SMO, PPC campaigns, and email marketing. Apptians is a leading SEO Agency in Delhi, Noida, Gurgaon, Faridabad, NCR, India, and Website ... read Apptians reviews &amp; insights</t>
  </si>
  <si>
    <t>founder 'Swastik Saraf' via Signalhire - verify | founder 'Apptians Digital Marketing Agency' via Signalhire - verify</t>
  </si>
  <si>
    <t>apptware.com</t>
  </si>
  <si>
    <t>Harish Rohokale (Founder &amp; CEO); Shekhar Gadekar (UI/UX Designer)</t>
  </si>
  <si>
    <t>https://www.linkedin.com/in/harish-rohokale</t>
  </si>
  <si>
    <t>harish@apptware.com</t>
  </si>
  <si>
    <t>+919975352335</t>
  </si>
  <si>
    <t>https://www.linkedin.com/in/shekhar-gadekar-35917115</t>
  </si>
  <si>
    <t>+919890074595</t>
  </si>
  <si>
    <t>We are a custom web &amp; mobile application development and design company. We dream, architect, design and develop human-first digital experiences. We build products which define the future of technology. We deliver the right business outcomes 2x faster and help our clients monetize more prudently. Count on us if you’re looking to develop a native ... read Apptware reviews &amp; insights</t>
  </si>
  <si>
    <t>founder 'Harish Rohokale' via Signalhire - verify | founder 'Shekhar Gadekar' via Signalhire - verify</t>
  </si>
  <si>
    <t>apstia.com</t>
  </si>
  <si>
    <t>Suresh Kumar Gahlot (Founder)</t>
  </si>
  <si>
    <t>https://www.linkedin.com/in/suresh-kumar-gahlot-06366619</t>
  </si>
  <si>
    <t>suresh@fliqi.com</t>
  </si>
  <si>
    <t>+919950527743</t>
  </si>
  <si>
    <t>Apstia is a team of seasoned IT professionals committed to empowering rapidly growing businesses through cutting-edge technology solutions and comprehensive digital security. Our mission is to drive digital innovation and safeguard business assets by delivering robust and performance-optimized IT services that minimize risks and enhance operational efficiency. We specialize in custom software, web, and mobile ... read APSTIA PRIVATE LIMITED reviews &amp; insights</t>
  </si>
  <si>
    <t>founder 'Suresh Kumar Gahlot' via Signalhire - verify</t>
  </si>
  <si>
    <t>aquadsoft.com</t>
  </si>
  <si>
    <t>Subbarao Lingamgunta (Co-Founder); Aquadsoft Software (Deputy CEO)</t>
  </si>
  <si>
    <t>https://www.linkedin.com/in/subbarao-lingamgunta-bb83081b</t>
  </si>
  <si>
    <t>arjuniitb2007@gmail.com</t>
  </si>
  <si>
    <t>+918882089903</t>
  </si>
  <si>
    <t>https://www.linkedin.com/in/aquadsoft-software-289754185</t>
  </si>
  <si>
    <t>Aquadsoft is a mobile and software company that provides apps and services for both businesses and consumers. Aquadsoft was founded in 2015 by a group of developers with the goal of providing high-quality apps to the market. They have created more than 20 apps, including Photo Editor, Video Editor, Music Player, Photo Collage Maker, Drawing ... read Aquadsoft reviews &amp; insights</t>
  </si>
  <si>
    <t>founder 'Subbarao Lingamgunta' via Signalhire - verify | founder 'Aquadsoft Software' via Signalhire - verify</t>
  </si>
  <si>
    <t>ardtechs.com</t>
  </si>
  <si>
    <t>Akash Dhoot (Managing Director); Andrew Green (Director)</t>
  </si>
  <si>
    <t>https://www.linkedin.com/in/akash1981</t>
  </si>
  <si>
    <t>akashhbk1@gmail.com</t>
  </si>
  <si>
    <t>+919582924450</t>
  </si>
  <si>
    <t>ARD Technologies is a digital strategy consulting firm offering small business owners hands-on support with establishing digital, product, marketing and operational roadmaps with a focus on scalable yet rapid growth. From content strategy to CRM implementations and usability studies, ARD Technologies is not a coaching service. We work with you to define your needs and ... read ARD Technologies reviews &amp; insights</t>
  </si>
  <si>
    <t>founder 'Akash Dhoot' via Signalhire - verify | founder 'Andrew Green' via Signalhire - verify</t>
  </si>
  <si>
    <t>argenius.in</t>
  </si>
  <si>
    <t>Serge De Boni (Founder &amp; CEO); Dewey Parsons (Founder, CEO)</t>
  </si>
  <si>
    <t>https://www.linkedin.com/in/serge-de-boni-842b02a</t>
  </si>
  <si>
    <t>serge.deboni@argenius.com</t>
  </si>
  <si>
    <t>+41793759692</t>
  </si>
  <si>
    <t>https://www.linkedin.com/in/dewey-parsons-65402319</t>
  </si>
  <si>
    <t>+916178425000</t>
  </si>
  <si>
    <t>Argenius is a fast-growing software development company delivering modern, scalable, and high-performance digital solutions. We specialize in custom web applications, e-commerce platforms, mobile app development, and enterprise software solutions. Our team focuses on clean architecture, user-friendly UI/UX design, and secure backend systems to ensure long-term success for our clients. We have successfully delivered projects across ... read Argenius reviews &amp; insights</t>
  </si>
  <si>
    <t>founder 'Serge De Boni' via Signalhire - verify | founder 'Dewey Parsons' via Signalhire - verify</t>
  </si>
  <si>
    <t>arhamwebworks.com</t>
  </si>
  <si>
    <t>Kushal Gandhi (CEO &amp; Owner)</t>
  </si>
  <si>
    <t>https://www.linkedin.com/in/kushalgandhi009</t>
  </si>
  <si>
    <t>kushal@arhamwebworks.com</t>
  </si>
  <si>
    <t>+919898736095</t>
  </si>
  <si>
    <t>Arham Web Works is an Award Winning Web Development Agency committed to providing the best in class IT services in Web Design and Development. We have brought countless ideas to life – launching over 1000 websites and connecting businesses with clients all over the world. Despite our international recognition, we remain a small agency dedicated ... read Arham Web Works reviews &amp; insights</t>
  </si>
  <si>
    <t>founder 'Kushal Gandhi' via Signalhire - verify</t>
  </si>
  <si>
    <t>aripratech.com</t>
  </si>
  <si>
    <t>Mahesh Pogra (CEO); Saurabh Chouhan (Founder)</t>
  </si>
  <si>
    <t>https://www.linkedin.com/in/mahesh-pogra</t>
  </si>
  <si>
    <t>apogra@aripratech.com</t>
  </si>
  <si>
    <t>+919926031327</t>
  </si>
  <si>
    <t>https://www.linkedin.com/in/saurabh-chouhan-0b2a03b4</t>
  </si>
  <si>
    <t>+919926031337</t>
  </si>
  <si>
    <t>&lt;p&gt;We at Aripra Infotech, create bespoke apps, or can say customized applications to meet the unique requirements of a particular business or organization. We put our fair efforts in creating customized product or service, in accordance to help businesses grow and succeed.&lt;/p&gt; &lt;p&gt;We have over 15+ years of extensive experience including:&lt;/p&gt; &lt;ul&gt; &lt;li&gt;Software Development&lt;/li&gt; &lt;li&gt;Website ... read Aripra Infotech reviews &amp; insights</t>
  </si>
  <si>
    <t>founder 'Mahesh Pogra' via Signalhire - verify | founder 'Saurabh Chouhan' via Signalhire - verify</t>
  </si>
  <si>
    <t>arkasoftwares.com</t>
  </si>
  <si>
    <t>Rahull Mathur (Managing Director); Manuj Varshney (Associate Director of Growth)</t>
  </si>
  <si>
    <t>https://www.linkedin.com/in/rahull-mathur-3734972</t>
  </si>
  <si>
    <t>rahulmathur06@gmail.com</t>
  </si>
  <si>
    <t>+919829080579</t>
  </si>
  <si>
    <t>https://www.linkedin.com/in/manujvarshney</t>
  </si>
  <si>
    <t>+919717174117</t>
  </si>
  <si>
    <t>Arka Softwares is an ISO 9001:2015 certified and industry-leading web and mobile development solution provider company with 100+ passionate developers and designers, based in Jaipur, India, having offices in, USA, UK, and Australia. We have been helping our consumer-oriented clients to drive business with our innovation-driven and contemporary web and mobile app solutions since our ... read ARKA Softwares reviews &amp; insights</t>
  </si>
  <si>
    <t>founder 'Rahull Mathur' via Signalhire - verify | founder 'Manuj Varshney' via Signalhire - verify</t>
  </si>
  <si>
    <t>arkatiss.com</t>
  </si>
  <si>
    <t>Dinesh Damodar (Lead Engineer)</t>
  </si>
  <si>
    <t>https://www.linkedin.com/in/dinesh-d-57530a135</t>
  </si>
  <si>
    <t>dinesh.damodar@lymbedge.com</t>
  </si>
  <si>
    <t>+919898438137</t>
  </si>
  <si>
    <t>Arkatiss: Transforming Businesses with Intelligent Solutions Arkatiss is a digital transformation company at the forefront of innovation, offering cutting-edge solutions in AI, IoT, data engineering, and automation. Our expertise spans business process re-engineering, intelligent data management, and next-generation information sharing, helping enterprises streamline operations and enhance decision-making. With a robust suite of products—Scyantra for communication, ... read Arkatiss reviews &amp; insights</t>
  </si>
  <si>
    <t>founder 'Dinesh Damodar' via Signalhire - verify</t>
  </si>
  <si>
    <t>arohatech.com</t>
  </si>
  <si>
    <t>Nishant Tyagi (Managing Director, CEO); Harman Malhotra (Assistant Director: Strategic Accounts)</t>
  </si>
  <si>
    <t>https://www.linkedin.com/in/arohatech</t>
  </si>
  <si>
    <t>nishant.tyagi@arohatech.com</t>
  </si>
  <si>
    <t>+911204251080</t>
  </si>
  <si>
    <t>https://www.linkedin.com/in/harman-malhotra-736657a6</t>
  </si>
  <si>
    <t>ArohaTech, ranked among 50 fastest growing technology companies in India and among top 500 in Asia-Pacific (by Deloitte), is the leading IT Company providing Website and Software Development services to its clients in 15+ nations. The market leader in Web App, Mobility, Business &amp; Artificial Intelligence, ArohaTech helps Small and Medium businesses achieve their goals ... read Arohatech reviews &amp; insights</t>
  </si>
  <si>
    <t>founder 'Nishant Tyagi' via Signalhire - verify | founder 'Harman Malhotra' via Signalhire - verify</t>
  </si>
  <si>
    <t>arokee.com</t>
  </si>
  <si>
    <t>Swetha Sudhan (CHRO &amp; Co-founder)</t>
  </si>
  <si>
    <t>https://www.linkedin.com/in/swethasudhan</t>
  </si>
  <si>
    <t>swetha@arokee.com</t>
  </si>
  <si>
    <t>+919108188884</t>
  </si>
  <si>
    <t>We’re passionate about delivering success At Arokee we like to call ourselves enablers – We help businesses realize their online potential. We are passionate about what we do and our work is a reflection of what we believe. We are an independent design and development agency combining our efforts in aiding our clients with the ... read Arokee Online Solutions Pvt. Ltd reviews &amp; insights</t>
  </si>
  <si>
    <t>founder 'Swetha Sudhan' via Signalhire - verify</t>
  </si>
  <si>
    <t>aronwebsolutions.com</t>
  </si>
  <si>
    <t>Sunil Kumar (Founder)</t>
  </si>
  <si>
    <t>https://www.linkedin.com/in/sunil-kumar-5644b89</t>
  </si>
  <si>
    <t>sunil@aronwebsolutions.com</t>
  </si>
  <si>
    <t>+919569828583</t>
  </si>
  <si>
    <t>Aron Web Solutions is a full-service digital partner trusted by Ecommerce brands, SaaS companies, agencies, and fast-growing startups. Since 2012, we’ve helped businesses scale with high-performance development, strategic design, and ROI-driven digital marketing—all delivered under one roof. With 13+ years of experience, we've successfully completed over 1,200+ projects with a 90% success rate worldwide. Our ... read Aron Web Solutions reviews &amp; insights</t>
  </si>
  <si>
    <t>founder 'Sunil Kumar' via Signalhire - verify</t>
  </si>
  <si>
    <t>arramton.com</t>
  </si>
  <si>
    <t>Mayank Bhatnagar (Co-Founder); Umang Marwah (Director)</t>
  </si>
  <si>
    <t>https://www.linkedin.com/in/mayank-bhatnagar-uk</t>
  </si>
  <si>
    <t>mayankbhatnagar@arramton.com</t>
  </si>
  <si>
    <t>+919871753634</t>
  </si>
  <si>
    <t>https://www.linkedin.com/in/umang-marwah-6a8268247</t>
  </si>
  <si>
    <t>+919810120088</t>
  </si>
  <si>
    <t>We are the best app development agency in Delhi providing comprehensive services in mobile app design and development. Our team of experts excel in creating user-friendly apps that are secure and reliable. We guarantee the highest quality solutions.</t>
  </si>
  <si>
    <t>founder 'Mayank Bhatnagar' via Signalhire - verify | founder 'Umang Marwah' via Signalhire - verify</t>
  </si>
  <si>
    <t>arthtechnology.com</t>
  </si>
  <si>
    <t>Arth Technology (Owner); Adarsh Poddar (Founder &amp; Product Vision Lead)</t>
  </si>
  <si>
    <t>https://www.linkedin.com/in/arth-technology-21363024</t>
  </si>
  <si>
    <t>metasofttechjpr@gmail.com</t>
  </si>
  <si>
    <t>+919799788190</t>
  </si>
  <si>
    <t>https://www.linkedin.com/in/adarsh-poddar-76846085</t>
  </si>
  <si>
    <t>Arth Technology is a Vadodara, Gujarat (India) based software development company that specializes in Software Development Service, Website Development Service, Mobile App Development Service, SEO Service, Digital Marketing Service, IT Software Consultancy.</t>
  </si>
  <si>
    <t>founder 'Arth Technology' via Signalhire - verify | founder 'Adarsh Poddar' via Signalhire - verify</t>
  </si>
  <si>
    <t>artifex-online.com</t>
  </si>
  <si>
    <t>Rajiv Sharma (Founder)</t>
  </si>
  <si>
    <t>https://www.linkedin.com/in/rajivsharma2</t>
  </si>
  <si>
    <t>rajiv@artifex-online.com</t>
  </si>
  <si>
    <t>+18562640336</t>
  </si>
  <si>
    <t>Artifex online is a leading name today in the development of Web Application ,Mobile Application and Software Application Development and assist’s organizations to accomplish their goals and practical solutions. Our strength is our expert people. Loyal teams of professional who know their jobs well and are extremely dexterous in their respective fields. We have effectively ... read Artifex-Online reviews &amp; insights</t>
  </si>
  <si>
    <t>founder 'Rajiv Sharma' via Signalhire - verify</t>
  </si>
  <si>
    <t>artoonsolutions.com</t>
  </si>
  <si>
    <t>Naresh Khokhaneshiya (Co-Founder &amp; CEO); Mahesh Makavana (Android Developer)</t>
  </si>
  <si>
    <t>https://www.linkedin.com/in/khokhaneshiya</t>
  </si>
  <si>
    <t>naresh@artoonsolutions.com</t>
  </si>
  <si>
    <t>+919979556565</t>
  </si>
  <si>
    <t>https://www.linkedin.com/in/mahesh-makavana-b7605182</t>
  </si>
  <si>
    <t>Being a leading IT development company in India and the USA, we create high-end user-oriented digital experiences with our prolific insights, perfect planning, innovative ideas, and technological expertise. We strive hard to empower our clients with a solution that helps them gain their digital presence effortlessly. Our expert teams are wizards in their respective arena ... read Artoon Solutions reviews &amp; insights</t>
  </si>
  <si>
    <t>founder 'Naresh Khokhaneshiya' via Signalhire - verify | founder 'Mahesh Makavana' via Signalhire - verify</t>
  </si>
  <si>
    <t>aryausa.com</t>
  </si>
  <si>
    <t>Rashmi Singh (CTO)</t>
  </si>
  <si>
    <t>https://www.linkedin.com/in/rashmi23</t>
  </si>
  <si>
    <t>rashmis@aryavratinfotech.com</t>
  </si>
  <si>
    <t>+19175392729</t>
  </si>
  <si>
    <t>Aryavrat Infotech Inc. is one of the reputed IT Solutions companies in US with a prime focus in the field of Software Development Services. We have an experienced, innovative and dynamic team of experts with a focus to provide software development outsourcing and offshore software services for individuals, small- and medium-sized businesses and corporate clients. ... read Aryavrat Infotech Inc. reviews &amp; insights</t>
  </si>
  <si>
    <t>founder 'Rashmi Singh' via Signalhire - verify</t>
  </si>
  <si>
    <t>ascent24.io</t>
  </si>
  <si>
    <t>Balaguru K (Co Founder and Tech Lead)</t>
  </si>
  <si>
    <t>https://www.linkedin.com/in/balaguru-ascent24</t>
  </si>
  <si>
    <t>bala@ascent24.io</t>
  </si>
  <si>
    <t>+919655870024</t>
  </si>
  <si>
    <t>Ascent24 Technologies is a custom software development company, where innovation meets precision. We're a team of curious minds, tech lovers, and problem-solvers, specialized in crafting custom software solutions that fit your business like a glove. Our tech stack is MEAN &amp; MERN stack What we offer Empowering Businesses with the Right Solution. How we do ... read Ascent24 Technologies reviews &amp; insights</t>
  </si>
  <si>
    <t>founder 'Balaguru K' via Signalhire - verify</t>
  </si>
  <si>
    <t>ascentfuturetech.com</t>
  </si>
  <si>
    <t>Tara McAdam Kassal (Co-founder + Managing Partner); Nicole Delich (Co-Founder)</t>
  </si>
  <si>
    <t>https://www.linkedin.com/in/tarakassal</t>
  </si>
  <si>
    <t>tkassal@ascentcities.com</t>
  </si>
  <si>
    <t>+19174062162</t>
  </si>
  <si>
    <t>https://www.linkedin.com/in/nicoledelich</t>
  </si>
  <si>
    <t>+19528078391</t>
  </si>
  <si>
    <t>Helping businesses with technology transformations since 2009, through our hard work and commitment to making a real difference, ascent has grown in scale and diversity, yet our shared culture remains the same. For us, good isn’t good enough. We aim to be the best at all that we do— to help clients realize their ambitions, ... read ascent reviews &amp; insights</t>
  </si>
  <si>
    <t>founder 'Tara McAdam Kassal' via Signalhire - verify | founder 'Nicole Delich' via Signalhire - verify</t>
  </si>
  <si>
    <t>ascentiqservices.com</t>
  </si>
  <si>
    <t>Rahul Tyagi (Co-Founder); Ryan Evans (Chief Executive Officer)</t>
  </si>
  <si>
    <t>https://www.linkedin.com/in/rahul-tyagi-398a3612b</t>
  </si>
  <si>
    <t>rahul@ascentiqservices.com</t>
  </si>
  <si>
    <t>+919999067275</t>
  </si>
  <si>
    <t>https://www.linkedin.com/in/ryan-evans-142a04103</t>
  </si>
  <si>
    <t>Ascent iQ is prominent for its excellent branch of services provided to businesses ecumenical. It's one of the most leading IT Service providing company that ascertains to meet with the customer prospects. We provide cloud-based and web-based solutions to our clients so that they can stay in par with today's competitive world. Under our web-based ... read Ascent iQ reviews &amp; insights</t>
  </si>
  <si>
    <t>founder 'Rahul Tyagi' via Signalhire - verify | founder 'Ryan Evans' via Signalhire - verify</t>
  </si>
  <si>
    <t>ascomp.in</t>
  </si>
  <si>
    <t>Rohit Jain (C.E.O.); Rahul Jain (Director)</t>
  </si>
  <si>
    <t>https://www.linkedin.com/in/rohitjain</t>
  </si>
  <si>
    <t>reckoner@ascomp.com</t>
  </si>
  <si>
    <t>+911141539101</t>
  </si>
  <si>
    <t>https://www.linkedin.com/in/rahul-jain-7813712</t>
  </si>
  <si>
    <t>+15099618788</t>
  </si>
  <si>
    <t>Ascomp Technologies is a rapidly growing company with a global presence, serving clients across numerous countries. We specialize in delivering custom technology solutions, with a strong emphasis on Enterprise Resource Planning (ERP) and enterprise solutions tailored to the unique needs of organizations Our extensive range of IT services and industry-specific solutions cater to a diverse ... read Ascomp Technologies reviews &amp; insights</t>
  </si>
  <si>
    <t>founder 'Rohit Jain' via Signalhire - verify | founder 'Rahul Jain' via Signalhire - verify</t>
  </si>
  <si>
    <t>askgalore.com</t>
  </si>
  <si>
    <t>Kunal Tomar (CEO &amp; Co-Founder); Isha Tomar (Director - HR &amp; Operations)</t>
  </si>
  <si>
    <t>https://www.linkedin.com/in/kunaltomar1977</t>
  </si>
  <si>
    <t>kunaltomar@askgalore.com</t>
  </si>
  <si>
    <t>+919920531617</t>
  </si>
  <si>
    <t>https://www.linkedin.com/in/isha-tomar-0a312324</t>
  </si>
  <si>
    <t>+919320270707</t>
  </si>
  <si>
    <t>AskGalore, with over 7+ years of experience, offers AI Product Engineering services and Blockchain solutions for startups and Fortune 500 companies. Our services include AI Development, Computer Vision Consulting Services, Generative AI services and Prompt Engineering, Natural Language Programming, LLM development services, and Deep Learning and Machine Learning model development. We also excel in Blockchain ... read Askgalore Digital reviews &amp; insights</t>
  </si>
  <si>
    <t>founder 'Kunal Tomar' via Signalhire - verify | founder 'Isha Tomar' via Signalhire - verify</t>
  </si>
  <si>
    <t>askmetechnologies.com</t>
  </si>
  <si>
    <t>Ashok Kumar (Founder &amp; CEO); Nikolai T. (Founder &amp; CEO at AskMe Technologies Inc)</t>
  </si>
  <si>
    <t>https://www.linkedin.com/in/ashok-kumar-322931a</t>
  </si>
  <si>
    <t>ashok@askmetechnologies.com</t>
  </si>
  <si>
    <t>+919999385943</t>
  </si>
  <si>
    <t>https://www.linkedin.com/in/niktrofimov</t>
  </si>
  <si>
    <t>Askme Technologies is one of the top India's web desiging web and development company. Askme offers a complete set of website development, website designing, and customized software development Solution.We have been serving our clients in India and abroad for many years and have handled all our projects with a high level of professionalism clubbed with ... read Askme Technologies reviews &amp; insights</t>
  </si>
  <si>
    <t>founder 'Ashok Kumar' via Signalhire - verify | founder 'Nikolai T.' via Signalhire - verify</t>
  </si>
  <si>
    <t>asparrowtech.com</t>
  </si>
  <si>
    <t>Arpit Chourasiya (Co-Founder); Harshit Choursiya (Founder)</t>
  </si>
  <si>
    <t>https://www.linkedin.com/in/arpit-chourasiya-a16a79178</t>
  </si>
  <si>
    <t>arpitchourasiya335@gmail.com</t>
  </si>
  <si>
    <t>+917471158313</t>
  </si>
  <si>
    <t>https://www.linkedin.com/in/harshit-chourasiya</t>
  </si>
  <si>
    <t>Asparrow Tech has a business office development center in Indore, India. We are a software development company, dedicated to building innovative app solutions for Mobile and Web. We have a team of Business Analysts, Developers, Designers, and QAs well versed with different technologies, tools, and best practices. We began our operations in Feb 2017 with ... read Asparrow Tech reviews &amp; insights</t>
  </si>
  <si>
    <t>founder 'Arpit Chourasiya' via Signalhire - verify | founder 'Harshit Choursiya' via Signalhire - verify</t>
  </si>
  <si>
    <t>assystant.com</t>
  </si>
  <si>
    <t>Saket Shukla (Chief Technology Officer); Holesh Priyankar (Chief Executive Officer)</t>
  </si>
  <si>
    <t>https://www.linkedin.com/in/saket--shukla</t>
  </si>
  <si>
    <t>saket@assystant.com</t>
  </si>
  <si>
    <t>+918872583191</t>
  </si>
  <si>
    <t>https://www.linkedin.com/in/holesh</t>
  </si>
  <si>
    <t>+918951301451</t>
  </si>
  <si>
    <t>Assystant is a value-oriented software solutions company that offers customized and sustainable services through collaboration. Our team implements the best practices and technologies to provide cost-effective, scalable solutions that meet industry standards. We specialize in application development including web and mobile application development, business intelligence, and consulting services. Our customer-centric approach creates success stories and ... read Assystant reviews &amp; insights</t>
  </si>
  <si>
    <t>founder 'Saket Shukla' via Signalhire - verify | founder 'Holesh Priyankar' via Signalhire - verify</t>
  </si>
  <si>
    <t>athmin.com</t>
  </si>
  <si>
    <t>Vinkal Vishnoi (CTO, Co-Founder)</t>
  </si>
  <si>
    <t>https://www.linkedin.com/in/vinkalvishnoi</t>
  </si>
  <si>
    <t>vinkal@athmin.com</t>
  </si>
  <si>
    <t>+919986842011</t>
  </si>
  <si>
    <t>Athmin Technologies is a worldwide organization proficient in delivering remarkable IT solutions in web, mobile IT advancement services. We have a versatile domain experience and a skilled group which empowers us to deliver business-focused digital solutions. We have set out ourselves on different continents by providing bespoke software development services to major industry domains. We ... read Athmin Technologies reviews &amp; insights</t>
  </si>
  <si>
    <t>founder 'Vinkal Vishnoi' via Signalhire - verify</t>
  </si>
  <si>
    <t>atomicnorth.com</t>
  </si>
  <si>
    <t>Sanjeev Spolia (Founder); Hemant Batra (Associate Director of Sales)</t>
  </si>
  <si>
    <t>https://www.linkedin.com/in/sanjeev-spolia-9119b66</t>
  </si>
  <si>
    <t>sspolia@supraits.com</t>
  </si>
  <si>
    <t>+14165255552</t>
  </si>
  <si>
    <t>https://www.linkedin.com/in/thisishemantbatra</t>
  </si>
  <si>
    <t>+919625680039</t>
  </si>
  <si>
    <t>Founded in 1999, Atomic North operates with the mission "Technology Made Simple," striving to make technology accessible for businesses of all sizes. As a leading technology solutions provider with a presence in India, Canada, and the USA, we specialize in simplifying complex technologies to drive business success. With a deep understanding of modern business challenges, ... read Atomic North reviews &amp; insights</t>
  </si>
  <si>
    <t>founder 'Sanjeev Spolia' via Signalhire - verify | founder 'Hemant Batra' via Signalhire - verify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</si>
</sst>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9" xfId="0" applyAlignment="1" applyFont="1" applyNumberFormat="1">
      <alignment readingOrder="0"/>
    </xf>
    <xf borderId="0" fillId="0" fontId="2" numFmtId="0" xfId="0" applyFont="1"/>
    <xf borderId="0" fillId="0" fontId="3"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in/pawan-kumar-agnihotri-32a2a083" TargetMode="External"/><Relationship Id="rId190" Type="http://schemas.openxmlformats.org/officeDocument/2006/relationships/hyperlink" Target="https://www.linkedin.com/in/sham-sundar-b03011255" TargetMode="External"/><Relationship Id="rId42" Type="http://schemas.openxmlformats.org/officeDocument/2006/relationships/hyperlink" Target="http://absoluteapplabs.com" TargetMode="External"/><Relationship Id="rId41" Type="http://schemas.openxmlformats.org/officeDocument/2006/relationships/hyperlink" Target="https://www.linkedin.com/in/abhishek-verma-abhiwan" TargetMode="External"/><Relationship Id="rId44" Type="http://schemas.openxmlformats.org/officeDocument/2006/relationships/hyperlink" Target="https://www.linkedin.com/in/roobang" TargetMode="External"/><Relationship Id="rId194" Type="http://schemas.openxmlformats.org/officeDocument/2006/relationships/hyperlink" Target="http://appicsoftwares.com" TargetMode="External"/><Relationship Id="rId43" Type="http://schemas.openxmlformats.org/officeDocument/2006/relationships/hyperlink" Target="https://www.linkedin.com/in/suresh-petchiappan-b6700bb6" TargetMode="External"/><Relationship Id="rId193" Type="http://schemas.openxmlformats.org/officeDocument/2006/relationships/hyperlink" Target="https://www.linkedin.com/in/kishankrmishra" TargetMode="External"/><Relationship Id="rId46" Type="http://schemas.openxmlformats.org/officeDocument/2006/relationships/hyperlink" Target="https://www.linkedin.com/in/sumeetkatariya" TargetMode="External"/><Relationship Id="rId192" Type="http://schemas.openxmlformats.org/officeDocument/2006/relationships/hyperlink" Target="https://www.linkedin.com/in/soniya-mishra-appfinz" TargetMode="External"/><Relationship Id="rId45" Type="http://schemas.openxmlformats.org/officeDocument/2006/relationships/hyperlink" Target="http://accucia.com" TargetMode="External"/><Relationship Id="rId191" Type="http://schemas.openxmlformats.org/officeDocument/2006/relationships/hyperlink" Target="http://appfinz.com" TargetMode="External"/><Relationship Id="rId48" Type="http://schemas.openxmlformats.org/officeDocument/2006/relationships/hyperlink" Target="https://www.linkedin.com/in/mohanmotiani" TargetMode="External"/><Relationship Id="rId187" Type="http://schemas.openxmlformats.org/officeDocument/2006/relationships/hyperlink" Target="https://www.linkedin.com/in/samar-shakeel-5b4051a0" TargetMode="External"/><Relationship Id="rId47" Type="http://schemas.openxmlformats.org/officeDocument/2006/relationships/hyperlink" Target="http://accusol.com" TargetMode="External"/><Relationship Id="rId186" Type="http://schemas.openxmlformats.org/officeDocument/2006/relationships/hyperlink" Target="http://appcrunk.com" TargetMode="External"/><Relationship Id="rId185" Type="http://schemas.openxmlformats.org/officeDocument/2006/relationships/hyperlink" Target="https://www.linkedin.com/in/sonu-sharma-%E0%A4%B8%E0%A5%8B%E0%A4%A8%E0%A5%82-%E0%A4%B6%E0%A4%B0%E0%A5%8D%E0%A4%AE%E0%A4%BE-2b1361218" TargetMode="External"/><Relationship Id="rId49" Type="http://schemas.openxmlformats.org/officeDocument/2006/relationships/hyperlink" Target="https://www.linkedin.com/in/frank-sciacchitano-0230356" TargetMode="External"/><Relationship Id="rId184" Type="http://schemas.openxmlformats.org/officeDocument/2006/relationships/hyperlink" Target="http://appcosoftware.com" TargetMode="External"/><Relationship Id="rId189" Type="http://schemas.openxmlformats.org/officeDocument/2006/relationships/hyperlink" Target="https://www.linkedin.com/in/edvinvarghese" TargetMode="External"/><Relationship Id="rId188" Type="http://schemas.openxmlformats.org/officeDocument/2006/relationships/hyperlink" Target="http://appface.in" TargetMode="External"/><Relationship Id="rId31" Type="http://schemas.openxmlformats.org/officeDocument/2006/relationships/hyperlink" Target="http://aartek.co.in" TargetMode="External"/><Relationship Id="rId30" Type="http://schemas.openxmlformats.org/officeDocument/2006/relationships/hyperlink" Target="https://www.linkedin.com/in/sandeep-goel-53068a12" TargetMode="External"/><Relationship Id="rId33" Type="http://schemas.openxmlformats.org/officeDocument/2006/relationships/hyperlink" Target="http://aaryavarta.com" TargetMode="External"/><Relationship Id="rId183" Type="http://schemas.openxmlformats.org/officeDocument/2006/relationships/hyperlink" Target="https://www.linkedin.com/in/apparranttech" TargetMode="External"/><Relationship Id="rId32" Type="http://schemas.openxmlformats.org/officeDocument/2006/relationships/hyperlink" Target="https://www.linkedin.com/in/neeraj-paliwal-9597b21a" TargetMode="External"/><Relationship Id="rId182" Type="http://schemas.openxmlformats.org/officeDocument/2006/relationships/hyperlink" Target="https://www.linkedin.com/in/sachin-chugh-apparrant" TargetMode="External"/><Relationship Id="rId35" Type="http://schemas.openxmlformats.org/officeDocument/2006/relationships/hyperlink" Target="https://www.linkedin.com/in/nilesh-gawade-aaryavarta" TargetMode="External"/><Relationship Id="rId181" Type="http://schemas.openxmlformats.org/officeDocument/2006/relationships/hyperlink" Target="http://apparrant.com" TargetMode="External"/><Relationship Id="rId34" Type="http://schemas.openxmlformats.org/officeDocument/2006/relationships/hyperlink" Target="https://www.linkedin.com/in/ajaykhamitkar" TargetMode="External"/><Relationship Id="rId180" Type="http://schemas.openxmlformats.org/officeDocument/2006/relationships/hyperlink" Target="https://www.linkedin.com/in/gauravkumar4" TargetMode="External"/><Relationship Id="rId37" Type="http://schemas.openxmlformats.org/officeDocument/2006/relationships/hyperlink" Target="https://www.linkedin.com/in/pratikmalvi" TargetMode="External"/><Relationship Id="rId176" Type="http://schemas.openxmlformats.org/officeDocument/2006/relationships/hyperlink" Target="https://www.linkedin.com/in/ankur-sharma-567b4a107" TargetMode="External"/><Relationship Id="rId36" Type="http://schemas.openxmlformats.org/officeDocument/2006/relationships/hyperlink" Target="http://aavatto.com" TargetMode="External"/><Relationship Id="rId175" Type="http://schemas.openxmlformats.org/officeDocument/2006/relationships/hyperlink" Target="http://anviam.com" TargetMode="External"/><Relationship Id="rId39" Type="http://schemas.openxmlformats.org/officeDocument/2006/relationships/hyperlink" Target="http://abhiwan.com" TargetMode="External"/><Relationship Id="rId174" Type="http://schemas.openxmlformats.org/officeDocument/2006/relationships/hyperlink" Target="https://www.linkedin.com/in/pooja-shrivastav" TargetMode="External"/><Relationship Id="rId38" Type="http://schemas.openxmlformats.org/officeDocument/2006/relationships/hyperlink" Target="https://www.linkedin.com/in/nirajosphere" TargetMode="External"/><Relationship Id="rId173" Type="http://schemas.openxmlformats.org/officeDocument/2006/relationships/hyperlink" Target="https://www.linkedin.com/in/antash-ahmed" TargetMode="External"/><Relationship Id="rId179" Type="http://schemas.openxmlformats.org/officeDocument/2006/relationships/hyperlink" Target="https://www.linkedin.com/in/prateekjaiswal86" TargetMode="External"/><Relationship Id="rId178" Type="http://schemas.openxmlformats.org/officeDocument/2006/relationships/hyperlink" Target="http://apagen.com" TargetMode="External"/><Relationship Id="rId177" Type="http://schemas.openxmlformats.org/officeDocument/2006/relationships/hyperlink" Target="https://www.linkedin.com/in/amands" TargetMode="External"/><Relationship Id="rId20" Type="http://schemas.openxmlformats.org/officeDocument/2006/relationships/hyperlink" Target="https://www.linkedin.com/in/rajnikantjoshi" TargetMode="External"/><Relationship Id="rId22" Type="http://schemas.openxmlformats.org/officeDocument/2006/relationships/hyperlink" Target="http://a3logics.com" TargetMode="External"/><Relationship Id="rId21" Type="http://schemas.openxmlformats.org/officeDocument/2006/relationships/hyperlink" Target="https://www.linkedin.com/in/mwangi-p-31703339" TargetMode="External"/><Relationship Id="rId24" Type="http://schemas.openxmlformats.org/officeDocument/2006/relationships/hyperlink" Target="https://www.linkedin.com/in/akhilesh-sh" TargetMode="External"/><Relationship Id="rId23" Type="http://schemas.openxmlformats.org/officeDocument/2006/relationships/hyperlink" Target="https://www.linkedin.com/in/scarlett-brown-297a941a0" TargetMode="External"/><Relationship Id="rId26" Type="http://schemas.openxmlformats.org/officeDocument/2006/relationships/hyperlink" Target="https://www.linkedin.com/in/pawankpawar" TargetMode="External"/><Relationship Id="rId25" Type="http://schemas.openxmlformats.org/officeDocument/2006/relationships/hyperlink" Target="http://aalpha.net" TargetMode="External"/><Relationship Id="rId28" Type="http://schemas.openxmlformats.org/officeDocument/2006/relationships/hyperlink" Target="http://aapnainfotech.com" TargetMode="External"/><Relationship Id="rId27" Type="http://schemas.openxmlformats.org/officeDocument/2006/relationships/hyperlink" Target="https://www.linkedin.com/in/aryanhabib4" TargetMode="External"/><Relationship Id="rId29" Type="http://schemas.openxmlformats.org/officeDocument/2006/relationships/hyperlink" Target="https://www.linkedin.com/in/bandanabiswas" TargetMode="External"/><Relationship Id="rId11" Type="http://schemas.openxmlformats.org/officeDocument/2006/relationships/hyperlink" Target="https://www.linkedin.com/in/ganesh-av-1a99564" TargetMode="External"/><Relationship Id="rId10" Type="http://schemas.openxmlformats.org/officeDocument/2006/relationships/hyperlink" Target="http://4wtech.com" TargetMode="External"/><Relationship Id="rId13" Type="http://schemas.openxmlformats.org/officeDocument/2006/relationships/hyperlink" Target="http://7span.com" TargetMode="External"/><Relationship Id="rId12" Type="http://schemas.openxmlformats.org/officeDocument/2006/relationships/hyperlink" Target="https://www.linkedin.com/in/brent-welch-7431482" TargetMode="External"/><Relationship Id="rId15" Type="http://schemas.openxmlformats.org/officeDocument/2006/relationships/hyperlink" Target="https://www.linkedin.com/in/theharsh" TargetMode="External"/><Relationship Id="rId198" Type="http://schemas.openxmlformats.org/officeDocument/2006/relationships/hyperlink" Target="https://www.linkedin.com/in/bala-devaraj" TargetMode="External"/><Relationship Id="rId14" Type="http://schemas.openxmlformats.org/officeDocument/2006/relationships/hyperlink" Target="https://www.linkedin.com/in/bhavik-vachhani" TargetMode="External"/><Relationship Id="rId197" Type="http://schemas.openxmlformats.org/officeDocument/2006/relationships/hyperlink" Target="http://appilytech.com" TargetMode="External"/><Relationship Id="rId17" Type="http://schemas.openxmlformats.org/officeDocument/2006/relationships/hyperlink" Target="https://www.linkedin.com/in/kaustav-sikari-218b6b260" TargetMode="External"/><Relationship Id="rId196" Type="http://schemas.openxmlformats.org/officeDocument/2006/relationships/hyperlink" Target="https://www.linkedin.com/in/shubham-pareek-entrepreneur" TargetMode="External"/><Relationship Id="rId16" Type="http://schemas.openxmlformats.org/officeDocument/2006/relationships/hyperlink" Target="http://99graphicsdesign.com" TargetMode="External"/><Relationship Id="rId195" Type="http://schemas.openxmlformats.org/officeDocument/2006/relationships/hyperlink" Target="https://www.linkedin.com/in/nitjn" TargetMode="External"/><Relationship Id="rId19" Type="http://schemas.openxmlformats.org/officeDocument/2006/relationships/hyperlink" Target="http://9series.com" TargetMode="External"/><Relationship Id="rId18" Type="http://schemas.openxmlformats.org/officeDocument/2006/relationships/hyperlink" Target="https://www.linkedin.com/in/avijit-rath" TargetMode="External"/><Relationship Id="rId199" Type="http://schemas.openxmlformats.org/officeDocument/2006/relationships/hyperlink" Target="http://appindia.co.in" TargetMode="External"/><Relationship Id="rId84" Type="http://schemas.openxmlformats.org/officeDocument/2006/relationships/hyperlink" Target="https://www.linkedin.com/in/aestechnologies" TargetMode="External"/><Relationship Id="rId83" Type="http://schemas.openxmlformats.org/officeDocument/2006/relationships/hyperlink" Target="https://www.linkedin.com/in/aesramesh" TargetMode="External"/><Relationship Id="rId86" Type="http://schemas.openxmlformats.org/officeDocument/2006/relationships/hyperlink" Target="https://www.linkedin.com/in/raghupon" TargetMode="External"/><Relationship Id="rId85" Type="http://schemas.openxmlformats.org/officeDocument/2006/relationships/hyperlink" Target="http://adventsys.in" TargetMode="External"/><Relationship Id="rId88" Type="http://schemas.openxmlformats.org/officeDocument/2006/relationships/hyperlink" Target="http://advmedia.in" TargetMode="External"/><Relationship Id="rId150" Type="http://schemas.openxmlformats.org/officeDocument/2006/relationships/hyperlink" Target="https://www.linkedin.com/in/startup-product-development-expert" TargetMode="External"/><Relationship Id="rId271" Type="http://schemas.openxmlformats.org/officeDocument/2006/relationships/hyperlink" Target="https://www.linkedin.com/in/ryan-evans-142a04103" TargetMode="External"/><Relationship Id="rId87" Type="http://schemas.openxmlformats.org/officeDocument/2006/relationships/hyperlink" Target="https://www.linkedin.com/in/suji-palanisamy-149780b6" TargetMode="External"/><Relationship Id="rId270" Type="http://schemas.openxmlformats.org/officeDocument/2006/relationships/hyperlink" Target="https://www.linkedin.com/in/rahul-tyagi-398a3612b" TargetMode="External"/><Relationship Id="rId89" Type="http://schemas.openxmlformats.org/officeDocument/2006/relationships/hyperlink" Target="https://www.linkedin.com/in/digitalmukesh" TargetMode="External"/><Relationship Id="rId80" Type="http://schemas.openxmlformats.org/officeDocument/2006/relationships/hyperlink" Target="https://www.linkedin.com/in/navneet-boghani-9b226325" TargetMode="External"/><Relationship Id="rId82" Type="http://schemas.openxmlformats.org/officeDocument/2006/relationships/hyperlink" Target="http://advanceecomsolutions.com" TargetMode="External"/><Relationship Id="rId81" Type="http://schemas.openxmlformats.org/officeDocument/2006/relationships/hyperlink" Target="https://www.linkedin.com/in/amit-mangukiya" TargetMode="External"/><Relationship Id="rId1" Type="http://schemas.openxmlformats.org/officeDocument/2006/relationships/hyperlink" Target="http://1985.co.in" TargetMode="External"/><Relationship Id="rId2" Type="http://schemas.openxmlformats.org/officeDocument/2006/relationships/hyperlink" Target="https://www.linkedin.com/in/berenice-pandit-35b0644" TargetMode="External"/><Relationship Id="rId3" Type="http://schemas.openxmlformats.org/officeDocument/2006/relationships/hyperlink" Target="https://www.linkedin.com/in/rappley" TargetMode="External"/><Relationship Id="rId149" Type="http://schemas.openxmlformats.org/officeDocument/2006/relationships/hyperlink" Target="http://altersquare.io" TargetMode="External"/><Relationship Id="rId4" Type="http://schemas.openxmlformats.org/officeDocument/2006/relationships/hyperlink" Target="http://1solutions.biz" TargetMode="External"/><Relationship Id="rId148" Type="http://schemas.openxmlformats.org/officeDocument/2006/relationships/hyperlink" Target="https://www.linkedin.com/in/linish-tomy-58403939" TargetMode="External"/><Relationship Id="rId269" Type="http://schemas.openxmlformats.org/officeDocument/2006/relationships/hyperlink" Target="http://ascentiqservices.com" TargetMode="External"/><Relationship Id="rId9" Type="http://schemas.openxmlformats.org/officeDocument/2006/relationships/hyperlink" Target="https://www.linkedin.com/in/imramilaluhar" TargetMode="External"/><Relationship Id="rId143" Type="http://schemas.openxmlformats.org/officeDocument/2006/relationships/hyperlink" Target="http://alpinesoftsolution.com" TargetMode="External"/><Relationship Id="rId264" Type="http://schemas.openxmlformats.org/officeDocument/2006/relationships/hyperlink" Target="http://ascent24.io" TargetMode="External"/><Relationship Id="rId142" Type="http://schemas.openxmlformats.org/officeDocument/2006/relationships/hyperlink" Target="https://www.linkedin.com/in/simon-thomas-98165922" TargetMode="External"/><Relationship Id="rId263" Type="http://schemas.openxmlformats.org/officeDocument/2006/relationships/hyperlink" Target="https://www.linkedin.com/in/rashmi23" TargetMode="External"/><Relationship Id="rId141" Type="http://schemas.openxmlformats.org/officeDocument/2006/relationships/hyperlink" Target="http://alphre.com" TargetMode="External"/><Relationship Id="rId262" Type="http://schemas.openxmlformats.org/officeDocument/2006/relationships/hyperlink" Target="http://aryausa.com" TargetMode="External"/><Relationship Id="rId140" Type="http://schemas.openxmlformats.org/officeDocument/2006/relationships/hyperlink" Target="https://www.linkedin.com/in/abhishekbhatnagar18" TargetMode="External"/><Relationship Id="rId261" Type="http://schemas.openxmlformats.org/officeDocument/2006/relationships/hyperlink" Target="https://www.linkedin.com/in/mahesh-makavana-b7605182" TargetMode="External"/><Relationship Id="rId5" Type="http://schemas.openxmlformats.org/officeDocument/2006/relationships/hyperlink" Target="https://www.linkedin.com/in/atulchaudhary01" TargetMode="External"/><Relationship Id="rId147" Type="http://schemas.openxmlformats.org/officeDocument/2006/relationships/hyperlink" Target="https://www.linkedin.com/in/tomypaul" TargetMode="External"/><Relationship Id="rId268" Type="http://schemas.openxmlformats.org/officeDocument/2006/relationships/hyperlink" Target="https://www.linkedin.com/in/nicoledelich" TargetMode="External"/><Relationship Id="rId6" Type="http://schemas.openxmlformats.org/officeDocument/2006/relationships/hyperlink" Target="https://www.linkedin.com/in/mohan-kumar-995702279" TargetMode="External"/><Relationship Id="rId146" Type="http://schemas.openxmlformats.org/officeDocument/2006/relationships/hyperlink" Target="http://altd.in" TargetMode="External"/><Relationship Id="rId267" Type="http://schemas.openxmlformats.org/officeDocument/2006/relationships/hyperlink" Target="https://www.linkedin.com/in/tarakassal" TargetMode="External"/><Relationship Id="rId7" Type="http://schemas.openxmlformats.org/officeDocument/2006/relationships/hyperlink" Target="http://3elixir.com" TargetMode="External"/><Relationship Id="rId145" Type="http://schemas.openxmlformats.org/officeDocument/2006/relationships/hyperlink" Target="https://www.linkedin.com/in/jack-lally7" TargetMode="External"/><Relationship Id="rId266" Type="http://schemas.openxmlformats.org/officeDocument/2006/relationships/hyperlink" Target="http://ascentfuturetech.com" TargetMode="External"/><Relationship Id="rId8" Type="http://schemas.openxmlformats.org/officeDocument/2006/relationships/hyperlink" Target="https://www.linkedin.com/in/sachin-suthar" TargetMode="External"/><Relationship Id="rId144" Type="http://schemas.openxmlformats.org/officeDocument/2006/relationships/hyperlink" Target="https://www.linkedin.com/in/akshit-sharma-771271184" TargetMode="External"/><Relationship Id="rId265" Type="http://schemas.openxmlformats.org/officeDocument/2006/relationships/hyperlink" Target="https://www.linkedin.com/in/balaguru-ascent24" TargetMode="External"/><Relationship Id="rId73" Type="http://schemas.openxmlformats.org/officeDocument/2006/relationships/hyperlink" Target="https://www.linkedin.com/in/dheerlalitgupta" TargetMode="External"/><Relationship Id="rId72" Type="http://schemas.openxmlformats.org/officeDocument/2006/relationships/hyperlink" Target="https://www.linkedin.com/in/nagendrakv" TargetMode="External"/><Relationship Id="rId75" Type="http://schemas.openxmlformats.org/officeDocument/2006/relationships/hyperlink" Target="https://www.linkedin.com/in/raju-prasad-82559b33" TargetMode="External"/><Relationship Id="rId74" Type="http://schemas.openxmlformats.org/officeDocument/2006/relationships/hyperlink" Target="http://adequateinfosoft.com" TargetMode="External"/><Relationship Id="rId77" Type="http://schemas.openxmlformats.org/officeDocument/2006/relationships/hyperlink" Target="http://adhocsoftwares.com" TargetMode="External"/><Relationship Id="rId260" Type="http://schemas.openxmlformats.org/officeDocument/2006/relationships/hyperlink" Target="https://www.linkedin.com/in/khokhaneshiya" TargetMode="External"/><Relationship Id="rId76" Type="http://schemas.openxmlformats.org/officeDocument/2006/relationships/hyperlink" Target="https://www.linkedin.com/in/adequate-infosoft" TargetMode="External"/><Relationship Id="rId79" Type="http://schemas.openxmlformats.org/officeDocument/2006/relationships/hyperlink" Target="http://adsumoriginator.com" TargetMode="External"/><Relationship Id="rId78" Type="http://schemas.openxmlformats.org/officeDocument/2006/relationships/hyperlink" Target="https://www.linkedin.com/in/karthik-srinivasan-46847a20" TargetMode="External"/><Relationship Id="rId71" Type="http://schemas.openxmlformats.org/officeDocument/2006/relationships/hyperlink" Target="http://adaptnxt.com" TargetMode="External"/><Relationship Id="rId70" Type="http://schemas.openxmlformats.org/officeDocument/2006/relationships/hyperlink" Target="https://www.linkedin.com/in/maharishi-gautam-939b6021" TargetMode="External"/><Relationship Id="rId139" Type="http://schemas.openxmlformats.org/officeDocument/2006/relationships/hyperlink" Target="http://alphaklick.com" TargetMode="External"/><Relationship Id="rId138" Type="http://schemas.openxmlformats.org/officeDocument/2006/relationships/hyperlink" Target="https://www.linkedin.com/in/vanshika-panchal-637bb9262" TargetMode="External"/><Relationship Id="rId259" Type="http://schemas.openxmlformats.org/officeDocument/2006/relationships/hyperlink" Target="http://artoonsolutions.com" TargetMode="External"/><Relationship Id="rId137" Type="http://schemas.openxmlformats.org/officeDocument/2006/relationships/hyperlink" Target="https://www.linkedin.com/in/deep-panchal-alliedgegroup" TargetMode="External"/><Relationship Id="rId258" Type="http://schemas.openxmlformats.org/officeDocument/2006/relationships/hyperlink" Target="https://www.linkedin.com/in/rajivsharma2" TargetMode="External"/><Relationship Id="rId132" Type="http://schemas.openxmlformats.org/officeDocument/2006/relationships/hyperlink" Target="https://www.linkedin.com/in/ashutoshbhatia" TargetMode="External"/><Relationship Id="rId253" Type="http://schemas.openxmlformats.org/officeDocument/2006/relationships/hyperlink" Target="https://www.linkedin.com/in/umang-marwah-6a8268247" TargetMode="External"/><Relationship Id="rId131" Type="http://schemas.openxmlformats.org/officeDocument/2006/relationships/hyperlink" Target="http://aleaitsolutions.com" TargetMode="External"/><Relationship Id="rId252" Type="http://schemas.openxmlformats.org/officeDocument/2006/relationships/hyperlink" Target="https://www.linkedin.com/in/mayank-bhatnagar-uk" TargetMode="External"/><Relationship Id="rId130" Type="http://schemas.openxmlformats.org/officeDocument/2006/relationships/hyperlink" Target="https://www.linkedin.com/in/vince-arora" TargetMode="External"/><Relationship Id="rId251" Type="http://schemas.openxmlformats.org/officeDocument/2006/relationships/hyperlink" Target="http://arramton.com" TargetMode="External"/><Relationship Id="rId250" Type="http://schemas.openxmlformats.org/officeDocument/2006/relationships/hyperlink" Target="https://www.linkedin.com/in/sunil-kumar-5644b89" TargetMode="External"/><Relationship Id="rId136" Type="http://schemas.openxmlformats.org/officeDocument/2006/relationships/hyperlink" Target="http://alliedge.in" TargetMode="External"/><Relationship Id="rId257" Type="http://schemas.openxmlformats.org/officeDocument/2006/relationships/hyperlink" Target="http://artifex-online.com" TargetMode="External"/><Relationship Id="rId135" Type="http://schemas.openxmlformats.org/officeDocument/2006/relationships/hyperlink" Target="https://www.linkedin.com/in/binair" TargetMode="External"/><Relationship Id="rId256" Type="http://schemas.openxmlformats.org/officeDocument/2006/relationships/hyperlink" Target="https://www.linkedin.com/in/adarsh-poddar-76846085" TargetMode="External"/><Relationship Id="rId134" Type="http://schemas.openxmlformats.org/officeDocument/2006/relationships/hyperlink" Target="http://allianzetechnologies.com" TargetMode="External"/><Relationship Id="rId255" Type="http://schemas.openxmlformats.org/officeDocument/2006/relationships/hyperlink" Target="https://www.linkedin.com/in/arth-technology-21363024" TargetMode="External"/><Relationship Id="rId133" Type="http://schemas.openxmlformats.org/officeDocument/2006/relationships/hyperlink" Target="https://www.linkedin.com/in/meghamutreja" TargetMode="External"/><Relationship Id="rId254" Type="http://schemas.openxmlformats.org/officeDocument/2006/relationships/hyperlink" Target="http://arthtechnology.com" TargetMode="External"/><Relationship Id="rId62" Type="http://schemas.openxmlformats.org/officeDocument/2006/relationships/hyperlink" Target="https://www.linkedin.com/in/james-bondhire-a3a106183" TargetMode="External"/><Relationship Id="rId61" Type="http://schemas.openxmlformats.org/officeDocument/2006/relationships/hyperlink" Target="https://www.linkedin.com/in/ravendra-kumar-b6a5732" TargetMode="External"/><Relationship Id="rId64" Type="http://schemas.openxmlformats.org/officeDocument/2006/relationships/hyperlink" Target="https://www.linkedin.com/in/bob-jeffry-ziegler" TargetMode="External"/><Relationship Id="rId63" Type="http://schemas.openxmlformats.org/officeDocument/2006/relationships/hyperlink" Target="https://www.linkedin.com/in/david-baker-09676b4" TargetMode="External"/><Relationship Id="rId66" Type="http://schemas.openxmlformats.org/officeDocument/2006/relationships/hyperlink" Target="https://www.linkedin.com/in/kush-dwivedi-269627190" TargetMode="External"/><Relationship Id="rId172" Type="http://schemas.openxmlformats.org/officeDocument/2006/relationships/hyperlink" Target="http://antsglobe.com" TargetMode="External"/><Relationship Id="rId65" Type="http://schemas.openxmlformats.org/officeDocument/2006/relationships/hyperlink" Target="http://acttconnect.com" TargetMode="External"/><Relationship Id="rId171" Type="http://schemas.openxmlformats.org/officeDocument/2006/relationships/hyperlink" Target="https://www.linkedin.com/in/himanshusethi25" TargetMode="External"/><Relationship Id="rId292" Type="http://schemas.openxmlformats.org/officeDocument/2006/relationships/drawing" Target="../drawings/drawing2.xml"/><Relationship Id="rId68" Type="http://schemas.openxmlformats.org/officeDocument/2006/relationships/hyperlink" Target="http://aculance.com" TargetMode="External"/><Relationship Id="rId170" Type="http://schemas.openxmlformats.org/officeDocument/2006/relationships/hyperlink" Target="http://annexcode.com" TargetMode="External"/><Relationship Id="rId291" Type="http://schemas.openxmlformats.org/officeDocument/2006/relationships/hyperlink" Target="https://www.linkedin.com/in/thisishemantbatra" TargetMode="External"/><Relationship Id="rId67" Type="http://schemas.openxmlformats.org/officeDocument/2006/relationships/hyperlink" Target="https://www.linkedin.com/in/tarun-dwivedi-82a72b11b" TargetMode="External"/><Relationship Id="rId290" Type="http://schemas.openxmlformats.org/officeDocument/2006/relationships/hyperlink" Target="https://www.linkedin.com/in/sanjeev-spolia-9119b66" TargetMode="External"/><Relationship Id="rId60" Type="http://schemas.openxmlformats.org/officeDocument/2006/relationships/hyperlink" Target="http://actiknow.com" TargetMode="External"/><Relationship Id="rId165" Type="http://schemas.openxmlformats.org/officeDocument/2006/relationships/hyperlink" Target="http://anciletech.com" TargetMode="External"/><Relationship Id="rId286" Type="http://schemas.openxmlformats.org/officeDocument/2006/relationships/hyperlink" Target="https://www.linkedin.com/in/holesh" TargetMode="External"/><Relationship Id="rId69" Type="http://schemas.openxmlformats.org/officeDocument/2006/relationships/hyperlink" Target="https://www.linkedin.com/in/ankit-dave-20b74a21" TargetMode="External"/><Relationship Id="rId164" Type="http://schemas.openxmlformats.org/officeDocument/2006/relationships/hyperlink" Target="https://www.linkedin.com/in/yashvir-maharaj-229ba42" TargetMode="External"/><Relationship Id="rId285" Type="http://schemas.openxmlformats.org/officeDocument/2006/relationships/hyperlink" Target="https://www.linkedin.com/in/saket--shukla" TargetMode="External"/><Relationship Id="rId163" Type="http://schemas.openxmlformats.org/officeDocument/2006/relationships/hyperlink" Target="https://www.linkedin.com/in/satishnpatel" TargetMode="External"/><Relationship Id="rId284" Type="http://schemas.openxmlformats.org/officeDocument/2006/relationships/hyperlink" Target="http://assystant.com" TargetMode="External"/><Relationship Id="rId162" Type="http://schemas.openxmlformats.org/officeDocument/2006/relationships/hyperlink" Target="http://analytixit.com" TargetMode="External"/><Relationship Id="rId283" Type="http://schemas.openxmlformats.org/officeDocument/2006/relationships/hyperlink" Target="https://www.linkedin.com/in/harshit-chourasiya" TargetMode="External"/><Relationship Id="rId169" Type="http://schemas.openxmlformats.org/officeDocument/2006/relationships/hyperlink" Target="https://www.linkedin.com/in/abhijeet-chauhan-bbb066164" TargetMode="External"/><Relationship Id="rId168" Type="http://schemas.openxmlformats.org/officeDocument/2006/relationships/hyperlink" Target="https://www.linkedin.com/in/deeppak-renuse-bb40261a" TargetMode="External"/><Relationship Id="rId289" Type="http://schemas.openxmlformats.org/officeDocument/2006/relationships/hyperlink" Target="http://atomicnorth.com" TargetMode="External"/><Relationship Id="rId167" Type="http://schemas.openxmlformats.org/officeDocument/2006/relationships/hyperlink" Target="http://ancrewglobal.com" TargetMode="External"/><Relationship Id="rId288" Type="http://schemas.openxmlformats.org/officeDocument/2006/relationships/hyperlink" Target="https://www.linkedin.com/in/vinkalvishnoi" TargetMode="External"/><Relationship Id="rId166" Type="http://schemas.openxmlformats.org/officeDocument/2006/relationships/hyperlink" Target="https://www.linkedin.com/in/ajay-pandey-72684321" TargetMode="External"/><Relationship Id="rId287" Type="http://schemas.openxmlformats.org/officeDocument/2006/relationships/hyperlink" Target="http://athmin.com" TargetMode="External"/><Relationship Id="rId51" Type="http://schemas.openxmlformats.org/officeDocument/2006/relationships/hyperlink" Target="https://www.linkedin.com/in/altaf-shaikhceo" TargetMode="External"/><Relationship Id="rId50" Type="http://schemas.openxmlformats.org/officeDocument/2006/relationships/hyperlink" Target="http://ace360degree.com" TargetMode="External"/><Relationship Id="rId53" Type="http://schemas.openxmlformats.org/officeDocument/2006/relationships/hyperlink" Target="https://www.linkedin.com/in/rahulkalaria" TargetMode="External"/><Relationship Id="rId52" Type="http://schemas.openxmlformats.org/officeDocument/2006/relationships/hyperlink" Target="http://aceinfoway.com" TargetMode="External"/><Relationship Id="rId55" Type="http://schemas.openxmlformats.org/officeDocument/2006/relationships/hyperlink" Target="http://acsestech.com" TargetMode="External"/><Relationship Id="rId161" Type="http://schemas.openxmlformats.org/officeDocument/2006/relationships/hyperlink" Target="https://www.linkedin.com/in/ceo-hemnix" TargetMode="External"/><Relationship Id="rId282" Type="http://schemas.openxmlformats.org/officeDocument/2006/relationships/hyperlink" Target="https://www.linkedin.com/in/arpit-chourasiya-a16a79178" TargetMode="External"/><Relationship Id="rId54" Type="http://schemas.openxmlformats.org/officeDocument/2006/relationships/hyperlink" Target="https://www.linkedin.com/in/myamit" TargetMode="External"/><Relationship Id="rId160" Type="http://schemas.openxmlformats.org/officeDocument/2006/relationships/hyperlink" Target="https://www.linkedin.com/in/srikanth-veturi" TargetMode="External"/><Relationship Id="rId281" Type="http://schemas.openxmlformats.org/officeDocument/2006/relationships/hyperlink" Target="http://asparrowtech.com" TargetMode="External"/><Relationship Id="rId57" Type="http://schemas.openxmlformats.org/officeDocument/2006/relationships/hyperlink" Target="http://acsonnet.com" TargetMode="External"/><Relationship Id="rId280" Type="http://schemas.openxmlformats.org/officeDocument/2006/relationships/hyperlink" Target="https://www.linkedin.com/in/niktrofimov" TargetMode="External"/><Relationship Id="rId56" Type="http://schemas.openxmlformats.org/officeDocument/2006/relationships/hyperlink" Target="https://www.linkedin.com/in/rajasekharatmakuri" TargetMode="External"/><Relationship Id="rId159" Type="http://schemas.openxmlformats.org/officeDocument/2006/relationships/hyperlink" Target="http://analogueitsolutions.com" TargetMode="External"/><Relationship Id="rId59" Type="http://schemas.openxmlformats.org/officeDocument/2006/relationships/hyperlink" Target="https://www.linkedin.com/in/sachin-gupta-0a685016" TargetMode="External"/><Relationship Id="rId154" Type="http://schemas.openxmlformats.org/officeDocument/2006/relationships/hyperlink" Target="http://ambiguous.in" TargetMode="External"/><Relationship Id="rId275" Type="http://schemas.openxmlformats.org/officeDocument/2006/relationships/hyperlink" Target="http://askgalore.com" TargetMode="External"/><Relationship Id="rId58" Type="http://schemas.openxmlformats.org/officeDocument/2006/relationships/hyperlink" Target="https://www.linkedin.com/in/amit-gupta-96468115" TargetMode="External"/><Relationship Id="rId153" Type="http://schemas.openxmlformats.org/officeDocument/2006/relationships/hyperlink" Target="https://www.linkedin.com/in/bhumi-jhaveri-45662115" TargetMode="External"/><Relationship Id="rId274" Type="http://schemas.openxmlformats.org/officeDocument/2006/relationships/hyperlink" Target="https://www.linkedin.com/in/rahul-jain-7813712" TargetMode="External"/><Relationship Id="rId152" Type="http://schemas.openxmlformats.org/officeDocument/2006/relationships/hyperlink" Target="http://ambab.com" TargetMode="External"/><Relationship Id="rId273" Type="http://schemas.openxmlformats.org/officeDocument/2006/relationships/hyperlink" Target="https://www.linkedin.com/in/rohitjain" TargetMode="External"/><Relationship Id="rId151" Type="http://schemas.openxmlformats.org/officeDocument/2006/relationships/hyperlink" Target="https://www.linkedin.com/in/product-development-for-software-companies" TargetMode="External"/><Relationship Id="rId272" Type="http://schemas.openxmlformats.org/officeDocument/2006/relationships/hyperlink" Target="http://ascomp.in" TargetMode="External"/><Relationship Id="rId158" Type="http://schemas.openxmlformats.org/officeDocument/2006/relationships/hyperlink" Target="https://www.linkedin.com/in/kinjal-soni-322239233" TargetMode="External"/><Relationship Id="rId279" Type="http://schemas.openxmlformats.org/officeDocument/2006/relationships/hyperlink" Target="https://www.linkedin.com/in/ashok-kumar-322931a" TargetMode="External"/><Relationship Id="rId157" Type="http://schemas.openxmlformats.org/officeDocument/2006/relationships/hyperlink" Target="https://www.linkedin.com/in/tnsoni" TargetMode="External"/><Relationship Id="rId278" Type="http://schemas.openxmlformats.org/officeDocument/2006/relationships/hyperlink" Target="http://askmetechnologies.com" TargetMode="External"/><Relationship Id="rId156" Type="http://schemas.openxmlformats.org/officeDocument/2006/relationships/hyperlink" Target="http://amplewebsol.com" TargetMode="External"/><Relationship Id="rId277" Type="http://schemas.openxmlformats.org/officeDocument/2006/relationships/hyperlink" Target="https://www.linkedin.com/in/isha-tomar-0a312324" TargetMode="External"/><Relationship Id="rId155" Type="http://schemas.openxmlformats.org/officeDocument/2006/relationships/hyperlink" Target="https://www.linkedin.com/in/shivanisaxena011" TargetMode="External"/><Relationship Id="rId276" Type="http://schemas.openxmlformats.org/officeDocument/2006/relationships/hyperlink" Target="https://www.linkedin.com/in/kunaltomar1977" TargetMode="External"/><Relationship Id="rId107" Type="http://schemas.openxmlformats.org/officeDocument/2006/relationships/hyperlink" Target="https://www.linkedin.com/in/sunilkumar707" TargetMode="External"/><Relationship Id="rId228" Type="http://schemas.openxmlformats.org/officeDocument/2006/relationships/hyperlink" Target="https://www.linkedin.com/in/aquadsoft-software-289754185" TargetMode="External"/><Relationship Id="rId106" Type="http://schemas.openxmlformats.org/officeDocument/2006/relationships/hyperlink" Target="http://ailoitte.com" TargetMode="External"/><Relationship Id="rId227" Type="http://schemas.openxmlformats.org/officeDocument/2006/relationships/hyperlink" Target="https://www.linkedin.com/in/subbarao-lingamgunta-bb83081b" TargetMode="External"/><Relationship Id="rId105" Type="http://schemas.openxmlformats.org/officeDocument/2006/relationships/hyperlink" Target="https://www.linkedin.com/in/renju-sebastian-aiderpro" TargetMode="External"/><Relationship Id="rId226" Type="http://schemas.openxmlformats.org/officeDocument/2006/relationships/hyperlink" Target="http://aquadsoft.com" TargetMode="External"/><Relationship Id="rId104" Type="http://schemas.openxmlformats.org/officeDocument/2006/relationships/hyperlink" Target="https://www.linkedin.com/in/jisin-joseph-42116547" TargetMode="External"/><Relationship Id="rId225" Type="http://schemas.openxmlformats.org/officeDocument/2006/relationships/hyperlink" Target="https://www.linkedin.com/in/suresh-kumar-gahlot-06366619" TargetMode="External"/><Relationship Id="rId109" Type="http://schemas.openxmlformats.org/officeDocument/2006/relationships/hyperlink" Target="http://aimbeat.com" TargetMode="External"/><Relationship Id="rId108" Type="http://schemas.openxmlformats.org/officeDocument/2006/relationships/hyperlink" Target="https://www.linkedin.com/in/khoji-co-677a40228" TargetMode="External"/><Relationship Id="rId229" Type="http://schemas.openxmlformats.org/officeDocument/2006/relationships/hyperlink" Target="http://ardtechs.com" TargetMode="External"/><Relationship Id="rId220" Type="http://schemas.openxmlformats.org/officeDocument/2006/relationships/hyperlink" Target="https://www.linkedin.com/in/apptians" TargetMode="External"/><Relationship Id="rId103" Type="http://schemas.openxmlformats.org/officeDocument/2006/relationships/hyperlink" Target="http://aiderpro.com" TargetMode="External"/><Relationship Id="rId224" Type="http://schemas.openxmlformats.org/officeDocument/2006/relationships/hyperlink" Target="http://apstia.com" TargetMode="External"/><Relationship Id="rId102" Type="http://schemas.openxmlformats.org/officeDocument/2006/relationships/hyperlink" Target="https://www.linkedin.com/in/vedant-awasthi" TargetMode="External"/><Relationship Id="rId223" Type="http://schemas.openxmlformats.org/officeDocument/2006/relationships/hyperlink" Target="https://www.linkedin.com/in/shekhar-gadekar-35917115" TargetMode="External"/><Relationship Id="rId101" Type="http://schemas.openxmlformats.org/officeDocument/2006/relationships/hyperlink" Target="https://www.linkedin.com/in/yash-gor-3012b71b4" TargetMode="External"/><Relationship Id="rId222" Type="http://schemas.openxmlformats.org/officeDocument/2006/relationships/hyperlink" Target="https://www.linkedin.com/in/harish-rohokale" TargetMode="External"/><Relationship Id="rId100" Type="http://schemas.openxmlformats.org/officeDocument/2006/relationships/hyperlink" Target="http://aicanservices.com" TargetMode="External"/><Relationship Id="rId221" Type="http://schemas.openxmlformats.org/officeDocument/2006/relationships/hyperlink" Target="http://apptware.com" TargetMode="External"/><Relationship Id="rId217" Type="http://schemas.openxmlformats.org/officeDocument/2006/relationships/hyperlink" Target="https://www.linkedin.com/in/anuj-sharma1" TargetMode="External"/><Relationship Id="rId216" Type="http://schemas.openxmlformats.org/officeDocument/2006/relationships/hyperlink" Target="http://appther.com" TargetMode="External"/><Relationship Id="rId215" Type="http://schemas.openxmlformats.org/officeDocument/2006/relationships/hyperlink" Target="https://www.linkedin.com/in/sujal-shah1986" TargetMode="External"/><Relationship Id="rId214" Type="http://schemas.openxmlformats.org/officeDocument/2006/relationships/hyperlink" Target="https://www.linkedin.com/in/kaykamalshah" TargetMode="External"/><Relationship Id="rId219" Type="http://schemas.openxmlformats.org/officeDocument/2006/relationships/hyperlink" Target="https://www.linkedin.com/in/swastiksaraf" TargetMode="External"/><Relationship Id="rId218" Type="http://schemas.openxmlformats.org/officeDocument/2006/relationships/hyperlink" Target="http://apptians.com" TargetMode="External"/><Relationship Id="rId213" Type="http://schemas.openxmlformats.org/officeDocument/2006/relationships/hyperlink" Target="http://appsvolt.com" TargetMode="External"/><Relationship Id="rId212" Type="http://schemas.openxmlformats.org/officeDocument/2006/relationships/hyperlink" Target="https://www.linkedin.com/in/aniljain76" TargetMode="External"/><Relationship Id="rId211" Type="http://schemas.openxmlformats.org/officeDocument/2006/relationships/hyperlink" Target="https://www.linkedin.com/in/atuljain1502" TargetMode="External"/><Relationship Id="rId210" Type="http://schemas.openxmlformats.org/officeDocument/2006/relationships/hyperlink" Target="http://appstean.com" TargetMode="External"/><Relationship Id="rId129" Type="http://schemas.openxmlformats.org/officeDocument/2006/relationships/hyperlink" Target="http://alcax.com" TargetMode="External"/><Relationship Id="rId128" Type="http://schemas.openxmlformats.org/officeDocument/2006/relationships/hyperlink" Target="https://www.linkedin.com/in/jainesh-shah-a1936a10" TargetMode="External"/><Relationship Id="rId249" Type="http://schemas.openxmlformats.org/officeDocument/2006/relationships/hyperlink" Target="http://aronwebsolutions.com" TargetMode="External"/><Relationship Id="rId127" Type="http://schemas.openxmlformats.org/officeDocument/2006/relationships/hyperlink" Target="https://www.linkedin.com/in/devangme" TargetMode="External"/><Relationship Id="rId248" Type="http://schemas.openxmlformats.org/officeDocument/2006/relationships/hyperlink" Target="https://www.linkedin.com/in/swethasudhan" TargetMode="External"/><Relationship Id="rId126" Type="http://schemas.openxmlformats.org/officeDocument/2006/relationships/hyperlink" Target="http://aktivsoftware.com" TargetMode="External"/><Relationship Id="rId247" Type="http://schemas.openxmlformats.org/officeDocument/2006/relationships/hyperlink" Target="http://arokee.com" TargetMode="External"/><Relationship Id="rId121" Type="http://schemas.openxmlformats.org/officeDocument/2006/relationships/hyperlink" Target="http://aiveda.io" TargetMode="External"/><Relationship Id="rId242" Type="http://schemas.openxmlformats.org/officeDocument/2006/relationships/hyperlink" Target="http://arkatiss.com" TargetMode="External"/><Relationship Id="rId120" Type="http://schemas.openxmlformats.org/officeDocument/2006/relationships/hyperlink" Target="https://www.linkedin.com/in/gdvyas" TargetMode="External"/><Relationship Id="rId241" Type="http://schemas.openxmlformats.org/officeDocument/2006/relationships/hyperlink" Target="https://www.linkedin.com/in/manujvarshney" TargetMode="External"/><Relationship Id="rId240" Type="http://schemas.openxmlformats.org/officeDocument/2006/relationships/hyperlink" Target="https://www.linkedin.com/in/rahull-mathur-3734972" TargetMode="External"/><Relationship Id="rId125" Type="http://schemas.openxmlformats.org/officeDocument/2006/relationships/hyperlink" Target="https://www.linkedin.com/in/praveen-upadhayaya" TargetMode="External"/><Relationship Id="rId246" Type="http://schemas.openxmlformats.org/officeDocument/2006/relationships/hyperlink" Target="https://www.linkedin.com/in/harman-malhotra-736657a6" TargetMode="External"/><Relationship Id="rId124" Type="http://schemas.openxmlformats.org/officeDocument/2006/relationships/hyperlink" Target="http://akilisystems.in" TargetMode="External"/><Relationship Id="rId245" Type="http://schemas.openxmlformats.org/officeDocument/2006/relationships/hyperlink" Target="https://www.linkedin.com/in/arohatech" TargetMode="External"/><Relationship Id="rId123" Type="http://schemas.openxmlformats.org/officeDocument/2006/relationships/hyperlink" Target="https://www.linkedin.com/in/vajmani" TargetMode="External"/><Relationship Id="rId244" Type="http://schemas.openxmlformats.org/officeDocument/2006/relationships/hyperlink" Target="http://arohatech.com" TargetMode="External"/><Relationship Id="rId122" Type="http://schemas.openxmlformats.org/officeDocument/2006/relationships/hyperlink" Target="https://www.linkedin.com/in/laher-khurana-a-88b185a" TargetMode="External"/><Relationship Id="rId243" Type="http://schemas.openxmlformats.org/officeDocument/2006/relationships/hyperlink" Target="https://www.linkedin.com/in/dinesh-d-57530a135" TargetMode="External"/><Relationship Id="rId95" Type="http://schemas.openxmlformats.org/officeDocument/2006/relationships/hyperlink" Target="http://aglowiditsolutions.com" TargetMode="External"/><Relationship Id="rId94" Type="http://schemas.openxmlformats.org/officeDocument/2006/relationships/hyperlink" Target="https://www.linkedin.com/in/nitul-mehta" TargetMode="External"/><Relationship Id="rId97" Type="http://schemas.openxmlformats.org/officeDocument/2006/relationships/hyperlink" Target="https://www.linkedin.com/in/ravi-thakor" TargetMode="External"/><Relationship Id="rId96" Type="http://schemas.openxmlformats.org/officeDocument/2006/relationships/hyperlink" Target="https://www.linkedin.com/in/ronak-patel-aglowid" TargetMode="External"/><Relationship Id="rId99" Type="http://schemas.openxmlformats.org/officeDocument/2006/relationships/hyperlink" Target="https://www.linkedin.com/in/ajay-kumar-jain-b5838b195" TargetMode="External"/><Relationship Id="rId98" Type="http://schemas.openxmlformats.org/officeDocument/2006/relationships/hyperlink" Target="http://agtindia.com" TargetMode="External"/><Relationship Id="rId91" Type="http://schemas.openxmlformats.org/officeDocument/2006/relationships/hyperlink" Target="https://www.linkedin.com/in/gautam-anand-314ba814" TargetMode="External"/><Relationship Id="rId90" Type="http://schemas.openxmlformats.org/officeDocument/2006/relationships/hyperlink" Target="http://agency09.in" TargetMode="External"/><Relationship Id="rId93" Type="http://schemas.openxmlformats.org/officeDocument/2006/relationships/hyperlink" Target="http://agilecube.com" TargetMode="External"/><Relationship Id="rId92" Type="http://schemas.openxmlformats.org/officeDocument/2006/relationships/hyperlink" Target="https://www.linkedin.com/in/ketan-shivadekar" TargetMode="External"/><Relationship Id="rId118" Type="http://schemas.openxmlformats.org/officeDocument/2006/relationships/hyperlink" Target="https://www.linkedin.com/in/sraboni-khatun-305071242" TargetMode="External"/><Relationship Id="rId239" Type="http://schemas.openxmlformats.org/officeDocument/2006/relationships/hyperlink" Target="http://arkasoftwares.com" TargetMode="External"/><Relationship Id="rId117" Type="http://schemas.openxmlformats.org/officeDocument/2006/relationships/hyperlink" Target="https://www.linkedin.com/in/robiul-hoque-90489039" TargetMode="External"/><Relationship Id="rId238" Type="http://schemas.openxmlformats.org/officeDocument/2006/relationships/hyperlink" Target="https://www.linkedin.com/in/saurabh-chouhan-0b2a03b4" TargetMode="External"/><Relationship Id="rId116" Type="http://schemas.openxmlformats.org/officeDocument/2006/relationships/hyperlink" Target="https://www.linkedin.com/in/anjali-devi-s-6697b610b" TargetMode="External"/><Relationship Id="rId237" Type="http://schemas.openxmlformats.org/officeDocument/2006/relationships/hyperlink" Target="https://www.linkedin.com/in/mahesh-pogra" TargetMode="External"/><Relationship Id="rId115" Type="http://schemas.openxmlformats.org/officeDocument/2006/relationships/hyperlink" Target="https://www.linkedin.com/in/johnsontaugustine" TargetMode="External"/><Relationship Id="rId236" Type="http://schemas.openxmlformats.org/officeDocument/2006/relationships/hyperlink" Target="http://aripratech.com" TargetMode="External"/><Relationship Id="rId119" Type="http://schemas.openxmlformats.org/officeDocument/2006/relationships/hyperlink" Target="http://airoxa.in" TargetMode="External"/><Relationship Id="rId110" Type="http://schemas.openxmlformats.org/officeDocument/2006/relationships/hyperlink" Target="https://www.linkedin.com/in/abuzaid-ansari-7079b473" TargetMode="External"/><Relationship Id="rId231" Type="http://schemas.openxmlformats.org/officeDocument/2006/relationships/hyperlink" Target="http://argenius.in" TargetMode="External"/><Relationship Id="rId230" Type="http://schemas.openxmlformats.org/officeDocument/2006/relationships/hyperlink" Target="https://www.linkedin.com/in/akash1981" TargetMode="External"/><Relationship Id="rId114" Type="http://schemas.openxmlformats.org/officeDocument/2006/relationships/hyperlink" Target="http://airoglobal.com" TargetMode="External"/><Relationship Id="rId235" Type="http://schemas.openxmlformats.org/officeDocument/2006/relationships/hyperlink" Target="https://www.linkedin.com/in/kushalgandhi009" TargetMode="External"/><Relationship Id="rId113" Type="http://schemas.openxmlformats.org/officeDocument/2006/relationships/hyperlink" Target="https://www.linkedin.com/in/abdul-kadir-ansari-7134b371" TargetMode="External"/><Relationship Id="rId234" Type="http://schemas.openxmlformats.org/officeDocument/2006/relationships/hyperlink" Target="http://arhamwebworks.com" TargetMode="External"/><Relationship Id="rId112" Type="http://schemas.openxmlformats.org/officeDocument/2006/relationships/hyperlink" Target="http://aimbeattechnology.com" TargetMode="External"/><Relationship Id="rId233" Type="http://schemas.openxmlformats.org/officeDocument/2006/relationships/hyperlink" Target="https://www.linkedin.com/in/dewey-parsons-65402319" TargetMode="External"/><Relationship Id="rId111" Type="http://schemas.openxmlformats.org/officeDocument/2006/relationships/hyperlink" Target="https://www.linkedin.com/in/abdul-kadir-ansari-7134b371" TargetMode="External"/><Relationship Id="rId232" Type="http://schemas.openxmlformats.org/officeDocument/2006/relationships/hyperlink" Target="https://www.linkedin.com/in/serge-de-boni-842b02a" TargetMode="External"/><Relationship Id="rId206" Type="http://schemas.openxmlformats.org/officeDocument/2006/relationships/hyperlink" Target="https://www.linkedin.com/in/meenakshi-sharma-a95875103" TargetMode="External"/><Relationship Id="rId205" Type="http://schemas.openxmlformats.org/officeDocument/2006/relationships/hyperlink" Target="http://appsimity.com" TargetMode="External"/><Relationship Id="rId204" Type="http://schemas.openxmlformats.org/officeDocument/2006/relationships/hyperlink" Target="https://www.linkedin.com/in/preethikabalaji" TargetMode="External"/><Relationship Id="rId203" Type="http://schemas.openxmlformats.org/officeDocument/2006/relationships/hyperlink" Target="https://www.linkedin.com/in/prasanna-kandeepan-504b5416" TargetMode="External"/><Relationship Id="rId209" Type="http://schemas.openxmlformats.org/officeDocument/2006/relationships/hyperlink" Target="https://www.linkedin.com/in/nikhillamba" TargetMode="External"/><Relationship Id="rId208" Type="http://schemas.openxmlformats.org/officeDocument/2006/relationships/hyperlink" Target="http://appsinvo.com" TargetMode="External"/><Relationship Id="rId207" Type="http://schemas.openxmlformats.org/officeDocument/2006/relationships/hyperlink" Target="https://www.linkedin.com/in/amrit-kaur-65363013a" TargetMode="External"/><Relationship Id="rId202" Type="http://schemas.openxmlformats.org/officeDocument/2006/relationships/hyperlink" Target="http://appscomp.com" TargetMode="External"/><Relationship Id="rId201" Type="http://schemas.openxmlformats.org/officeDocument/2006/relationships/hyperlink" Target="https://www.linkedin.com/in/murphy-asharaf-662bb718" TargetMode="External"/><Relationship Id="rId200" Type="http://schemas.openxmlformats.org/officeDocument/2006/relationships/hyperlink" Target="https://www.linkedin.com/in/maharishirb-supernova-ai-ap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25.25"/>
    <col customWidth="1" min="4" max="4" width="32.75"/>
    <col customWidth="1" min="6" max="6" width="28.25"/>
    <col customWidth="1" min="7" max="7" width="42.63"/>
    <col customWidth="1" min="8" max="8" width="30.25"/>
    <col customWidth="1" min="16" max="16" width="74.13"/>
  </cols>
  <sheetData>
    <row r="1">
      <c r="A1" s="1" t="s">
        <v>0</v>
      </c>
      <c r="B1" s="1" t="s">
        <v>1</v>
      </c>
      <c r="C1" s="1" t="s">
        <v>2</v>
      </c>
      <c r="D1" s="1" t="s">
        <v>4</v>
      </c>
      <c r="E1" s="1" t="s">
        <v>5</v>
      </c>
      <c r="F1" s="1" t="s">
        <v>6</v>
      </c>
      <c r="G1" s="1" t="s">
        <v>8</v>
      </c>
      <c r="H1" s="1" t="s">
        <v>14</v>
      </c>
      <c r="I1" s="1" t="s">
        <v>15</v>
      </c>
      <c r="J1" s="1" t="s">
        <v>10</v>
      </c>
      <c r="K1" s="1" t="s">
        <v>12</v>
      </c>
      <c r="L1" s="1" t="s">
        <v>20</v>
      </c>
      <c r="M1" s="1" t="s">
        <v>13</v>
      </c>
      <c r="N1" s="1" t="s">
        <v>23</v>
      </c>
      <c r="O1" s="1" t="s">
        <v>16</v>
      </c>
      <c r="P1" s="1" t="s">
        <v>26</v>
      </c>
      <c r="Q1" s="1" t="s">
        <v>18</v>
      </c>
      <c r="R1" s="1" t="s">
        <v>27</v>
      </c>
    </row>
    <row r="2">
      <c r="A2" s="3">
        <v>1.0</v>
      </c>
      <c r="B2" s="5" t="str">
        <f>HYPERLINK("http://1985.co.in/","1985")</f>
        <v>1985</v>
      </c>
      <c r="C2" s="6" t="s">
        <v>28</v>
      </c>
      <c r="D2" s="1" t="s">
        <v>29</v>
      </c>
      <c r="E2" s="6" t="s">
        <v>30</v>
      </c>
      <c r="F2" s="1" t="s">
        <v>31</v>
      </c>
      <c r="G2" s="7" t="s">
        <v>32</v>
      </c>
      <c r="H2" s="6" t="s">
        <v>33</v>
      </c>
      <c r="I2" s="7" t="s">
        <v>34</v>
      </c>
      <c r="J2" s="3">
        <v>2011.0</v>
      </c>
      <c r="K2" s="1" t="s">
        <v>35</v>
      </c>
      <c r="L2" s="1" t="s">
        <v>36</v>
      </c>
      <c r="M2" s="1" t="s">
        <v>37</v>
      </c>
      <c r="N2" s="1" t="s">
        <v>38</v>
      </c>
      <c r="O2" s="1" t="s">
        <v>39</v>
      </c>
      <c r="Q2" s="1" t="s">
        <v>40</v>
      </c>
      <c r="R2" s="1" t="s">
        <v>41</v>
      </c>
    </row>
    <row r="3">
      <c r="A3" s="3">
        <v>2.0</v>
      </c>
      <c r="B3" s="5" t="str">
        <f>HYPERLINK("https://www.1solutions.biz/","1Solutions")</f>
        <v>1Solutions</v>
      </c>
      <c r="C3" s="6" t="s">
        <v>42</v>
      </c>
      <c r="D3" s="1" t="s">
        <v>43</v>
      </c>
      <c r="E3" s="6" t="s">
        <v>44</v>
      </c>
      <c r="F3" s="1" t="s">
        <v>45</v>
      </c>
      <c r="G3" s="7" t="s">
        <v>46</v>
      </c>
      <c r="H3" s="6" t="s">
        <v>47</v>
      </c>
      <c r="I3" s="7" t="s">
        <v>48</v>
      </c>
      <c r="J3" s="3">
        <v>2010.0</v>
      </c>
      <c r="K3" s="1" t="s">
        <v>35</v>
      </c>
      <c r="L3" s="1" t="s">
        <v>36</v>
      </c>
      <c r="M3" s="1" t="s">
        <v>37</v>
      </c>
      <c r="N3" s="1" t="s">
        <v>38</v>
      </c>
      <c r="O3" s="1" t="s">
        <v>49</v>
      </c>
      <c r="Q3" s="1" t="s">
        <v>50</v>
      </c>
      <c r="R3" s="1" t="s">
        <v>41</v>
      </c>
    </row>
    <row r="4">
      <c r="A4" s="3">
        <v>3.0</v>
      </c>
      <c r="B4" s="5" t="str">
        <f>HYPERLINK("https://3elixir.com","3ELIXIR SOLUTIONS")</f>
        <v>3ELIXIR SOLUTIONS</v>
      </c>
      <c r="C4" s="6" t="s">
        <v>51</v>
      </c>
      <c r="D4" s="1" t="s">
        <v>52</v>
      </c>
      <c r="E4" s="6" t="s">
        <v>53</v>
      </c>
      <c r="F4" s="1" t="s">
        <v>54</v>
      </c>
      <c r="G4" s="7" t="s">
        <v>55</v>
      </c>
      <c r="H4" s="6" t="s">
        <v>56</v>
      </c>
      <c r="I4" s="7" t="s">
        <v>57</v>
      </c>
      <c r="J4" s="3">
        <v>2016.0</v>
      </c>
      <c r="K4" s="1" t="s">
        <v>35</v>
      </c>
      <c r="L4" s="1" t="s">
        <v>36</v>
      </c>
      <c r="M4" s="1" t="s">
        <v>37</v>
      </c>
      <c r="N4" s="1" t="s">
        <v>38</v>
      </c>
      <c r="O4" s="1" t="s">
        <v>58</v>
      </c>
      <c r="Q4" s="1" t="s">
        <v>59</v>
      </c>
      <c r="R4" s="1" t="s">
        <v>41</v>
      </c>
    </row>
    <row r="5">
      <c r="A5" s="3">
        <v>4.0</v>
      </c>
      <c r="B5" s="5" t="str">
        <f>HYPERLINK("https://www.4wtech.com/","4w Technologies")</f>
        <v>4w Technologies</v>
      </c>
      <c r="C5" s="6" t="s">
        <v>60</v>
      </c>
      <c r="D5" s="1" t="s">
        <v>61</v>
      </c>
      <c r="E5" s="6" t="s">
        <v>62</v>
      </c>
      <c r="F5" s="1" t="s">
        <v>63</v>
      </c>
      <c r="G5" s="7" t="s">
        <v>64</v>
      </c>
      <c r="H5" s="6" t="s">
        <v>65</v>
      </c>
      <c r="I5" s="7" t="s">
        <v>66</v>
      </c>
      <c r="J5" s="3">
        <v>1996.0</v>
      </c>
      <c r="K5" s="1" t="s">
        <v>35</v>
      </c>
      <c r="L5" s="1" t="s">
        <v>67</v>
      </c>
      <c r="M5" s="1" t="s">
        <v>68</v>
      </c>
      <c r="N5" s="1" t="s">
        <v>38</v>
      </c>
      <c r="O5" s="1" t="s">
        <v>69</v>
      </c>
      <c r="Q5" s="1" t="s">
        <v>70</v>
      </c>
      <c r="R5" s="1" t="s">
        <v>41</v>
      </c>
    </row>
    <row r="6">
      <c r="A6" s="3">
        <v>5.0</v>
      </c>
      <c r="B6" s="5" t="str">
        <f>HYPERLINK("https://7span.com/","7Span")</f>
        <v>7Span</v>
      </c>
      <c r="C6" s="6" t="s">
        <v>71</v>
      </c>
      <c r="D6" s="1" t="s">
        <v>72</v>
      </c>
      <c r="E6" s="6" t="s">
        <v>73</v>
      </c>
      <c r="F6" s="1" t="s">
        <v>74</v>
      </c>
      <c r="G6" s="7" t="s">
        <v>75</v>
      </c>
      <c r="H6" s="6" t="s">
        <v>76</v>
      </c>
      <c r="I6" s="7" t="s">
        <v>77</v>
      </c>
      <c r="J6" s="3">
        <v>2015.0</v>
      </c>
      <c r="K6" s="1" t="s">
        <v>35</v>
      </c>
      <c r="L6" s="1" t="s">
        <v>67</v>
      </c>
      <c r="M6" s="1" t="s">
        <v>68</v>
      </c>
      <c r="N6" s="1" t="s">
        <v>38</v>
      </c>
      <c r="O6" s="1" t="s">
        <v>78</v>
      </c>
      <c r="Q6" s="1" t="s">
        <v>79</v>
      </c>
      <c r="R6" s="1" t="s">
        <v>41</v>
      </c>
    </row>
    <row r="7">
      <c r="A7" s="3">
        <v>6.0</v>
      </c>
      <c r="B7" s="5" t="str">
        <f>HYPERLINK("https://99graphicsdesign.com/","99Graphics Design")</f>
        <v>99Graphics Design</v>
      </c>
      <c r="C7" s="6" t="s">
        <v>80</v>
      </c>
      <c r="D7" s="1" t="s">
        <v>81</v>
      </c>
      <c r="E7" s="6" t="s">
        <v>82</v>
      </c>
      <c r="F7" s="1" t="s">
        <v>83</v>
      </c>
      <c r="G7" s="7" t="s">
        <v>84</v>
      </c>
      <c r="H7" s="6" t="s">
        <v>85</v>
      </c>
      <c r="I7" s="7" t="s">
        <v>86</v>
      </c>
      <c r="J7" s="3">
        <v>2013.0</v>
      </c>
      <c r="K7" s="1" t="s">
        <v>35</v>
      </c>
      <c r="L7" s="1" t="s">
        <v>36</v>
      </c>
      <c r="M7" s="1" t="s">
        <v>37</v>
      </c>
      <c r="N7" s="1" t="s">
        <v>38</v>
      </c>
      <c r="O7" s="1" t="s">
        <v>87</v>
      </c>
      <c r="Q7" s="1" t="s">
        <v>88</v>
      </c>
      <c r="R7" s="1" t="s">
        <v>41</v>
      </c>
    </row>
    <row r="8">
      <c r="A8" s="3">
        <v>7.0</v>
      </c>
      <c r="B8" s="5" t="str">
        <f>HYPERLINK("https://www.9series.com","9series Inc")</f>
        <v>9series Inc</v>
      </c>
      <c r="C8" s="6" t="s">
        <v>89</v>
      </c>
      <c r="D8" s="1" t="s">
        <v>90</v>
      </c>
      <c r="E8" s="6" t="s">
        <v>91</v>
      </c>
      <c r="F8" s="1" t="s">
        <v>92</v>
      </c>
      <c r="G8" s="7" t="s">
        <v>93</v>
      </c>
      <c r="H8" s="6" t="s">
        <v>94</v>
      </c>
      <c r="J8" s="3">
        <v>2007.0</v>
      </c>
      <c r="K8" s="1" t="s">
        <v>35</v>
      </c>
      <c r="L8" s="1" t="s">
        <v>95</v>
      </c>
      <c r="M8" s="1" t="s">
        <v>96</v>
      </c>
      <c r="N8" s="1" t="s">
        <v>97</v>
      </c>
      <c r="O8" s="1" t="s">
        <v>98</v>
      </c>
      <c r="Q8" s="1" t="s">
        <v>99</v>
      </c>
      <c r="R8" s="1" t="s">
        <v>41</v>
      </c>
    </row>
    <row r="9">
      <c r="A9" s="3">
        <v>8.0</v>
      </c>
      <c r="B9" s="5" t="str">
        <f>HYPERLINK("https://www.a3logics.com/?utm_source=goodfirm&amp;utm_medium=re","A3Logics")</f>
        <v>A3Logics</v>
      </c>
      <c r="C9" s="6" t="s">
        <v>100</v>
      </c>
      <c r="D9" s="1" t="s">
        <v>101</v>
      </c>
      <c r="E9" s="6" t="s">
        <v>102</v>
      </c>
      <c r="F9" s="1" t="s">
        <v>103</v>
      </c>
      <c r="G9" s="7" t="s">
        <v>104</v>
      </c>
      <c r="H9" s="6" t="s">
        <v>105</v>
      </c>
      <c r="I9" s="7" t="s">
        <v>106</v>
      </c>
      <c r="J9" s="3">
        <v>2003.0</v>
      </c>
      <c r="K9" s="1" t="s">
        <v>35</v>
      </c>
      <c r="L9" s="1" t="s">
        <v>95</v>
      </c>
      <c r="M9" s="1" t="s">
        <v>96</v>
      </c>
      <c r="N9" s="1" t="s">
        <v>97</v>
      </c>
      <c r="O9" s="1" t="s">
        <v>107</v>
      </c>
      <c r="Q9" s="1" t="s">
        <v>108</v>
      </c>
      <c r="R9" s="1" t="s">
        <v>41</v>
      </c>
    </row>
    <row r="10">
      <c r="A10" s="3">
        <v>9.0</v>
      </c>
      <c r="B10" s="5" t="str">
        <f>HYPERLINK("https://www.aalpha.net","Aalpha Information Systems India Pvt. Ltd.")</f>
        <v>Aalpha Information Systems India Pvt. Ltd.</v>
      </c>
      <c r="C10" s="6" t="s">
        <v>109</v>
      </c>
      <c r="D10" s="1" t="s">
        <v>110</v>
      </c>
      <c r="E10" s="6" t="s">
        <v>111</v>
      </c>
      <c r="F10" s="1" t="s">
        <v>112</v>
      </c>
      <c r="G10" s="7" t="s">
        <v>113</v>
      </c>
      <c r="H10" s="6" t="s">
        <v>114</v>
      </c>
      <c r="J10" s="3">
        <v>2008.0</v>
      </c>
      <c r="K10" s="1" t="s">
        <v>35</v>
      </c>
      <c r="L10" s="1" t="s">
        <v>67</v>
      </c>
      <c r="M10" s="1" t="s">
        <v>68</v>
      </c>
      <c r="N10" s="1" t="s">
        <v>38</v>
      </c>
      <c r="O10" s="1" t="s">
        <v>115</v>
      </c>
      <c r="Q10" s="1" t="s">
        <v>116</v>
      </c>
      <c r="R10" s="1" t="s">
        <v>41</v>
      </c>
    </row>
    <row r="11">
      <c r="A11" s="3">
        <v>10.0</v>
      </c>
      <c r="B11" s="5" t="str">
        <f>HYPERLINK("https://www.aapnainfotech.com/","Aapna Infotech")</f>
        <v>Aapna Infotech</v>
      </c>
      <c r="C11" s="6" t="s">
        <v>117</v>
      </c>
      <c r="D11" s="1" t="s">
        <v>118</v>
      </c>
      <c r="E11" s="6" t="s">
        <v>119</v>
      </c>
      <c r="F11" s="1" t="s">
        <v>120</v>
      </c>
      <c r="G11" s="7" t="s">
        <v>121</v>
      </c>
      <c r="H11" s="6" t="s">
        <v>122</v>
      </c>
      <c r="I11" s="7" t="s">
        <v>123</v>
      </c>
      <c r="J11" s="3">
        <v>2007.0</v>
      </c>
      <c r="K11" s="1" t="s">
        <v>35</v>
      </c>
      <c r="L11" s="1" t="s">
        <v>67</v>
      </c>
      <c r="M11" s="1" t="s">
        <v>68</v>
      </c>
      <c r="N11" s="1" t="s">
        <v>38</v>
      </c>
      <c r="O11" s="1" t="s">
        <v>124</v>
      </c>
      <c r="Q11" s="1" t="s">
        <v>125</v>
      </c>
      <c r="R11" s="1" t="s">
        <v>41</v>
      </c>
    </row>
    <row r="12">
      <c r="A12" s="3">
        <v>11.0</v>
      </c>
      <c r="B12" s="5" t="str">
        <f>HYPERLINK("http://aartek.co.in/","Aartek Software Solutions Pvt. Ltd")</f>
        <v>Aartek Software Solutions Pvt. Ltd</v>
      </c>
      <c r="C12" s="6" t="s">
        <v>126</v>
      </c>
      <c r="D12" s="1" t="s">
        <v>127</v>
      </c>
      <c r="E12" s="6" t="s">
        <v>128</v>
      </c>
      <c r="F12" s="1" t="s">
        <v>129</v>
      </c>
      <c r="G12" s="7" t="s">
        <v>130</v>
      </c>
      <c r="J12" s="3">
        <v>2010.0</v>
      </c>
      <c r="K12" s="1" t="s">
        <v>35</v>
      </c>
      <c r="L12" s="1" t="s">
        <v>67</v>
      </c>
      <c r="M12" s="1" t="s">
        <v>68</v>
      </c>
      <c r="N12" s="1" t="s">
        <v>38</v>
      </c>
      <c r="O12" s="1" t="s">
        <v>131</v>
      </c>
      <c r="Q12" s="1" t="s">
        <v>132</v>
      </c>
      <c r="R12" s="1" t="s">
        <v>41</v>
      </c>
    </row>
    <row r="13">
      <c r="A13" s="3">
        <v>12.0</v>
      </c>
      <c r="B13" s="5" t="str">
        <f>HYPERLINK("http://www.aaryavarta.com","Aaryavarta Technologies")</f>
        <v>Aaryavarta Technologies</v>
      </c>
      <c r="C13" s="6" t="s">
        <v>133</v>
      </c>
      <c r="D13" s="1" t="s">
        <v>134</v>
      </c>
      <c r="E13" s="6" t="s">
        <v>135</v>
      </c>
      <c r="F13" s="1" t="s">
        <v>136</v>
      </c>
      <c r="G13" s="7" t="s">
        <v>137</v>
      </c>
      <c r="H13" s="6" t="s">
        <v>138</v>
      </c>
      <c r="I13" s="7" t="s">
        <v>139</v>
      </c>
      <c r="J13" s="3">
        <v>2015.0</v>
      </c>
      <c r="K13" s="1" t="s">
        <v>35</v>
      </c>
      <c r="L13" s="1" t="s">
        <v>36</v>
      </c>
      <c r="M13" s="1" t="s">
        <v>37</v>
      </c>
      <c r="N13" s="1" t="s">
        <v>38</v>
      </c>
      <c r="O13" s="1" t="s">
        <v>140</v>
      </c>
      <c r="Q13" s="1" t="s">
        <v>141</v>
      </c>
      <c r="R13" s="1" t="s">
        <v>41</v>
      </c>
    </row>
    <row r="14">
      <c r="A14" s="3">
        <v>13.0</v>
      </c>
      <c r="B14" s="5" t="str">
        <f>HYPERLINK("https://aavatto.com/","Aavatto")</f>
        <v>Aavatto</v>
      </c>
      <c r="C14" s="6" t="s">
        <v>142</v>
      </c>
      <c r="D14" s="1" t="s">
        <v>143</v>
      </c>
      <c r="E14" s="6" t="s">
        <v>144</v>
      </c>
      <c r="F14" s="1" t="s">
        <v>145</v>
      </c>
      <c r="G14" s="7" t="s">
        <v>146</v>
      </c>
      <c r="H14" s="6" t="s">
        <v>147</v>
      </c>
      <c r="I14" s="7" t="s">
        <v>148</v>
      </c>
      <c r="J14" s="3">
        <v>2020.0</v>
      </c>
      <c r="K14" s="1" t="s">
        <v>35</v>
      </c>
      <c r="L14" s="1" t="s">
        <v>36</v>
      </c>
      <c r="M14" s="1" t="s">
        <v>37</v>
      </c>
      <c r="N14" s="1" t="s">
        <v>38</v>
      </c>
      <c r="O14" s="1" t="s">
        <v>149</v>
      </c>
      <c r="Q14" s="1" t="s">
        <v>150</v>
      </c>
      <c r="R14" s="1" t="s">
        <v>41</v>
      </c>
    </row>
    <row r="15">
      <c r="A15" s="3">
        <v>14.0</v>
      </c>
      <c r="B15" s="5" t="str">
        <f>HYPERLINK("https://www.abhiwan.com/","Abhiwan Technology")</f>
        <v>Abhiwan Technology</v>
      </c>
      <c r="C15" s="6" t="s">
        <v>151</v>
      </c>
      <c r="D15" s="1" t="s">
        <v>152</v>
      </c>
      <c r="E15" s="6" t="s">
        <v>153</v>
      </c>
      <c r="F15" s="1" t="s">
        <v>154</v>
      </c>
      <c r="G15" s="7" t="s">
        <v>155</v>
      </c>
      <c r="H15" s="6" t="s">
        <v>156</v>
      </c>
      <c r="I15" s="7" t="s">
        <v>157</v>
      </c>
      <c r="J15" s="3">
        <v>2018.0</v>
      </c>
      <c r="K15" s="1" t="s">
        <v>35</v>
      </c>
      <c r="L15" s="1" t="s">
        <v>67</v>
      </c>
      <c r="M15" s="1" t="s">
        <v>68</v>
      </c>
      <c r="N15" s="1" t="s">
        <v>38</v>
      </c>
      <c r="O15" s="1" t="s">
        <v>158</v>
      </c>
      <c r="Q15" s="1" t="s">
        <v>159</v>
      </c>
      <c r="R15" s="1" t="s">
        <v>41</v>
      </c>
    </row>
    <row r="16">
      <c r="A16" s="3">
        <v>15.0</v>
      </c>
      <c r="B16" s="5" t="str">
        <f>HYPERLINK("https://absoluteapplabs.com/","Absolute App Labs")</f>
        <v>Absolute App Labs</v>
      </c>
      <c r="C16" s="6" t="s">
        <v>160</v>
      </c>
      <c r="D16" s="1" t="s">
        <v>161</v>
      </c>
      <c r="E16" s="6" t="s">
        <v>162</v>
      </c>
      <c r="F16" s="1" t="s">
        <v>163</v>
      </c>
      <c r="G16" s="7" t="s">
        <v>164</v>
      </c>
      <c r="H16" s="6" t="s">
        <v>165</v>
      </c>
      <c r="J16" s="3">
        <v>2021.0</v>
      </c>
      <c r="K16" s="1" t="s">
        <v>35</v>
      </c>
      <c r="L16" s="1" t="s">
        <v>36</v>
      </c>
      <c r="M16" s="1" t="s">
        <v>37</v>
      </c>
      <c r="N16" s="1" t="s">
        <v>38</v>
      </c>
      <c r="O16" s="1" t="s">
        <v>166</v>
      </c>
      <c r="Q16" s="1" t="s">
        <v>167</v>
      </c>
      <c r="R16" s="1" t="s">
        <v>41</v>
      </c>
    </row>
    <row r="17">
      <c r="A17" s="3">
        <v>16.0</v>
      </c>
      <c r="B17" s="5" t="str">
        <f>HYPERLINK("https://www.accucia.com/","Accucia")</f>
        <v>Accucia</v>
      </c>
      <c r="C17" s="6" t="s">
        <v>168</v>
      </c>
      <c r="D17" s="1" t="s">
        <v>169</v>
      </c>
      <c r="E17" s="6" t="s">
        <v>170</v>
      </c>
      <c r="F17" s="1" t="s">
        <v>171</v>
      </c>
      <c r="G17" s="7" t="s">
        <v>172</v>
      </c>
      <c r="J17" s="3">
        <v>2015.0</v>
      </c>
      <c r="K17" s="1" t="s">
        <v>35</v>
      </c>
      <c r="L17" s="1" t="s">
        <v>36</v>
      </c>
      <c r="M17" s="1" t="s">
        <v>37</v>
      </c>
      <c r="N17" s="1" t="s">
        <v>38</v>
      </c>
      <c r="O17" s="1" t="s">
        <v>173</v>
      </c>
      <c r="Q17" s="1" t="s">
        <v>174</v>
      </c>
      <c r="R17" s="1" t="s">
        <v>41</v>
      </c>
    </row>
    <row r="18">
      <c r="A18" s="3">
        <v>17.0</v>
      </c>
      <c r="B18" s="5" t="str">
        <f>HYPERLINK("https://www.accusol.com/","Accusol")</f>
        <v>Accusol</v>
      </c>
      <c r="C18" s="6" t="s">
        <v>175</v>
      </c>
      <c r="D18" s="1" t="s">
        <v>176</v>
      </c>
      <c r="E18" s="6" t="s">
        <v>177</v>
      </c>
      <c r="F18" s="1" t="s">
        <v>178</v>
      </c>
      <c r="G18" s="7" t="s">
        <v>179</v>
      </c>
      <c r="H18" s="6" t="s">
        <v>180</v>
      </c>
      <c r="I18" s="7" t="s">
        <v>181</v>
      </c>
      <c r="J18" s="3">
        <v>2007.0</v>
      </c>
      <c r="K18" s="1" t="s">
        <v>35</v>
      </c>
      <c r="L18" s="1" t="s">
        <v>67</v>
      </c>
      <c r="M18" s="1" t="s">
        <v>68</v>
      </c>
      <c r="N18" s="1" t="s">
        <v>38</v>
      </c>
      <c r="O18" s="1" t="s">
        <v>182</v>
      </c>
      <c r="Q18" s="1" t="s">
        <v>183</v>
      </c>
      <c r="R18" s="1" t="s">
        <v>41</v>
      </c>
    </row>
    <row r="19">
      <c r="A19" s="3">
        <v>18.0</v>
      </c>
      <c r="B19" s="5" t="str">
        <f>HYPERLINK("https://ace360degree.com/","ace360degree")</f>
        <v>ace360degree</v>
      </c>
      <c r="C19" s="6" t="s">
        <v>184</v>
      </c>
      <c r="D19" s="1" t="s">
        <v>185</v>
      </c>
      <c r="E19" s="6" t="s">
        <v>186</v>
      </c>
      <c r="F19" s="1" t="s">
        <v>187</v>
      </c>
      <c r="G19" s="7" t="s">
        <v>188</v>
      </c>
      <c r="J19" s="3">
        <v>2009.0</v>
      </c>
      <c r="K19" s="1" t="s">
        <v>35</v>
      </c>
      <c r="L19" s="1" t="s">
        <v>36</v>
      </c>
      <c r="M19" s="1" t="s">
        <v>37</v>
      </c>
      <c r="N19" s="1" t="s">
        <v>38</v>
      </c>
      <c r="O19" s="1" t="s">
        <v>189</v>
      </c>
      <c r="Q19" s="1" t="s">
        <v>190</v>
      </c>
      <c r="R19" s="1" t="s">
        <v>41</v>
      </c>
    </row>
    <row r="20">
      <c r="A20" s="3">
        <v>19.0</v>
      </c>
      <c r="B20" s="5" t="str">
        <f>HYPERLINK("https://www.aceinfoway.com","Ace Infoway")</f>
        <v>Ace Infoway</v>
      </c>
      <c r="C20" s="6" t="s">
        <v>191</v>
      </c>
      <c r="D20" s="1" t="s">
        <v>192</v>
      </c>
      <c r="E20" s="6" t="s">
        <v>193</v>
      </c>
      <c r="F20" s="1" t="s">
        <v>194</v>
      </c>
      <c r="G20" s="7" t="s">
        <v>195</v>
      </c>
      <c r="H20" s="6" t="s">
        <v>196</v>
      </c>
      <c r="I20" s="7" t="s">
        <v>197</v>
      </c>
      <c r="J20" s="3">
        <v>1997.0</v>
      </c>
      <c r="K20" s="1" t="s">
        <v>35</v>
      </c>
      <c r="L20" s="1" t="s">
        <v>95</v>
      </c>
      <c r="M20" s="1" t="s">
        <v>96</v>
      </c>
      <c r="N20" s="1" t="s">
        <v>97</v>
      </c>
      <c r="O20" s="1" t="s">
        <v>198</v>
      </c>
      <c r="Q20" s="1" t="s">
        <v>199</v>
      </c>
      <c r="R20" s="1" t="s">
        <v>41</v>
      </c>
    </row>
    <row r="21">
      <c r="A21" s="3">
        <v>20.0</v>
      </c>
      <c r="B21" s="5" t="str">
        <f>HYPERLINK("https://acsestech.com/offshore-staffing/","ACSESTECH Consulting Services Pvt Ltd")</f>
        <v>ACSESTECH Consulting Services Pvt Ltd</v>
      </c>
      <c r="C21" s="6" t="s">
        <v>200</v>
      </c>
      <c r="D21" s="1" t="s">
        <v>201</v>
      </c>
      <c r="E21" s="6" t="s">
        <v>202</v>
      </c>
      <c r="F21" s="1" t="s">
        <v>203</v>
      </c>
      <c r="G21" s="7" t="s">
        <v>204</v>
      </c>
      <c r="J21" s="3">
        <v>2008.0</v>
      </c>
      <c r="K21" s="1" t="s">
        <v>35</v>
      </c>
      <c r="L21" s="1" t="s">
        <v>67</v>
      </c>
      <c r="M21" s="1" t="s">
        <v>68</v>
      </c>
      <c r="N21" s="1" t="s">
        <v>38</v>
      </c>
      <c r="O21" s="1" t="s">
        <v>205</v>
      </c>
      <c r="Q21" s="1" t="s">
        <v>206</v>
      </c>
      <c r="R21" s="1" t="s">
        <v>41</v>
      </c>
    </row>
    <row r="22">
      <c r="A22" s="3">
        <v>21.0</v>
      </c>
      <c r="B22" s="5" t="str">
        <f>HYPERLINK("https://www.acsonnet.com","Accurate Info Soft pvt ltd")</f>
        <v>Accurate Info Soft pvt ltd</v>
      </c>
      <c r="C22" s="6" t="s">
        <v>207</v>
      </c>
      <c r="D22" s="1" t="s">
        <v>208</v>
      </c>
      <c r="E22" s="6" t="s">
        <v>209</v>
      </c>
      <c r="F22" s="1" t="s">
        <v>210</v>
      </c>
      <c r="G22" s="7" t="s">
        <v>211</v>
      </c>
      <c r="H22" s="6" t="s">
        <v>212</v>
      </c>
      <c r="I22" s="7" t="s">
        <v>213</v>
      </c>
      <c r="J22" s="3">
        <v>1995.0</v>
      </c>
      <c r="K22" s="1" t="s">
        <v>35</v>
      </c>
      <c r="L22" s="1" t="s">
        <v>36</v>
      </c>
      <c r="M22" s="1" t="s">
        <v>37</v>
      </c>
      <c r="N22" s="1" t="s">
        <v>38</v>
      </c>
      <c r="O22" s="1" t="s">
        <v>214</v>
      </c>
      <c r="Q22" s="1" t="s">
        <v>215</v>
      </c>
      <c r="R22" s="1" t="s">
        <v>41</v>
      </c>
    </row>
    <row r="23">
      <c r="A23" s="3">
        <v>22.0</v>
      </c>
      <c r="B23" s="5" t="str">
        <f>HYPERLINK("http://www.actiknow.com/","Actiknow Consulting Pvt Ltd")</f>
        <v>Actiknow Consulting Pvt Ltd</v>
      </c>
      <c r="C23" s="6" t="s">
        <v>216</v>
      </c>
      <c r="D23" s="1" t="s">
        <v>217</v>
      </c>
      <c r="E23" s="6" t="s">
        <v>218</v>
      </c>
      <c r="F23" s="1" t="s">
        <v>219</v>
      </c>
      <c r="G23" s="7" t="s">
        <v>220</v>
      </c>
      <c r="H23" s="6" t="s">
        <v>221</v>
      </c>
      <c r="J23" s="3">
        <v>2011.0</v>
      </c>
      <c r="K23" s="1" t="s">
        <v>35</v>
      </c>
      <c r="L23" s="1" t="s">
        <v>67</v>
      </c>
      <c r="M23" s="1" t="s">
        <v>68</v>
      </c>
      <c r="N23" s="1" t="s">
        <v>38</v>
      </c>
      <c r="O23" s="1" t="s">
        <v>222</v>
      </c>
      <c r="Q23" s="1" t="s">
        <v>223</v>
      </c>
      <c r="R23" s="1" t="s">
        <v>41</v>
      </c>
    </row>
    <row r="24">
      <c r="A24" s="3">
        <v>23.0</v>
      </c>
      <c r="B24" s="5" t="str">
        <f>HYPERLINK("https://www.active.agency/","Tech Active")</f>
        <v>Tech Active</v>
      </c>
      <c r="C24" s="1" t="s">
        <v>224</v>
      </c>
      <c r="D24" s="1" t="s">
        <v>225</v>
      </c>
      <c r="E24" s="6" t="s">
        <v>226</v>
      </c>
      <c r="F24" s="1" t="s">
        <v>227</v>
      </c>
      <c r="G24" s="7" t="s">
        <v>228</v>
      </c>
      <c r="H24" s="6" t="s">
        <v>229</v>
      </c>
      <c r="I24" s="7" t="s">
        <v>230</v>
      </c>
      <c r="J24" s="3">
        <v>2006.0</v>
      </c>
      <c r="K24" s="1" t="s">
        <v>35</v>
      </c>
      <c r="L24" s="1" t="s">
        <v>67</v>
      </c>
      <c r="M24" s="1" t="s">
        <v>68</v>
      </c>
      <c r="N24" s="1" t="s">
        <v>38</v>
      </c>
      <c r="O24" s="1" t="s">
        <v>231</v>
      </c>
      <c r="Q24" s="1" t="s">
        <v>232</v>
      </c>
      <c r="R24" s="1" t="s">
        <v>41</v>
      </c>
    </row>
    <row r="25">
      <c r="A25" s="3">
        <v>24.0</v>
      </c>
      <c r="B25" s="5" t="str">
        <f>HYPERLINK("https://acttconnect.com/","Act T Connect")</f>
        <v>Act T Connect</v>
      </c>
      <c r="C25" s="6" t="s">
        <v>233</v>
      </c>
      <c r="D25" s="1" t="s">
        <v>234</v>
      </c>
      <c r="E25" s="6" t="s">
        <v>235</v>
      </c>
      <c r="F25" s="1" t="s">
        <v>236</v>
      </c>
      <c r="G25" s="7" t="s">
        <v>237</v>
      </c>
      <c r="H25" s="6" t="s">
        <v>238</v>
      </c>
      <c r="I25" s="7" t="s">
        <v>239</v>
      </c>
      <c r="J25" s="3">
        <v>2020.0</v>
      </c>
      <c r="K25" s="1" t="s">
        <v>35</v>
      </c>
      <c r="L25" s="1" t="s">
        <v>36</v>
      </c>
      <c r="M25" s="1" t="s">
        <v>37</v>
      </c>
      <c r="N25" s="1" t="s">
        <v>38</v>
      </c>
      <c r="O25" s="1" t="s">
        <v>240</v>
      </c>
      <c r="Q25" s="1" t="s">
        <v>241</v>
      </c>
      <c r="R25" s="1" t="s">
        <v>41</v>
      </c>
    </row>
    <row r="26">
      <c r="A26" s="3">
        <v>25.0</v>
      </c>
      <c r="B26" s="5" t="str">
        <f>HYPERLINK("http://aculance.com","Aculance IT Solutions")</f>
        <v>Aculance IT Solutions</v>
      </c>
      <c r="C26" s="6" t="s">
        <v>242</v>
      </c>
      <c r="D26" s="1" t="s">
        <v>243</v>
      </c>
      <c r="E26" s="6" t="s">
        <v>244</v>
      </c>
      <c r="F26" s="1" t="s">
        <v>245</v>
      </c>
      <c r="G26" s="7" t="s">
        <v>246</v>
      </c>
      <c r="H26" s="6" t="s">
        <v>247</v>
      </c>
      <c r="I26" s="7" t="s">
        <v>248</v>
      </c>
      <c r="J26" s="3">
        <v>2014.0</v>
      </c>
      <c r="K26" s="1" t="s">
        <v>35</v>
      </c>
      <c r="L26" s="1" t="s">
        <v>36</v>
      </c>
      <c r="M26" s="1" t="s">
        <v>37</v>
      </c>
      <c r="N26" s="1" t="s">
        <v>38</v>
      </c>
      <c r="O26" s="1" t="s">
        <v>249</v>
      </c>
      <c r="Q26" s="1" t="s">
        <v>250</v>
      </c>
      <c r="R26" s="1" t="s">
        <v>41</v>
      </c>
    </row>
    <row r="27">
      <c r="A27" s="3">
        <v>26.0</v>
      </c>
      <c r="B27" s="5" t="str">
        <f>HYPERLINK("https://adaptnxt.com","AdaptNXT Technology Solutions")</f>
        <v>AdaptNXT Technology Solutions</v>
      </c>
      <c r="C27" s="6" t="s">
        <v>251</v>
      </c>
      <c r="D27" s="1" t="s">
        <v>252</v>
      </c>
      <c r="E27" s="6" t="s">
        <v>253</v>
      </c>
      <c r="F27" s="1" t="s">
        <v>254</v>
      </c>
      <c r="G27" s="7" t="s">
        <v>255</v>
      </c>
      <c r="H27" s="6" t="s">
        <v>256</v>
      </c>
      <c r="I27" s="7" t="s">
        <v>257</v>
      </c>
      <c r="J27" s="3">
        <v>2020.0</v>
      </c>
      <c r="K27" s="1" t="s">
        <v>35</v>
      </c>
      <c r="L27" s="1" t="s">
        <v>36</v>
      </c>
      <c r="M27" s="1" t="s">
        <v>37</v>
      </c>
      <c r="N27" s="1" t="s">
        <v>38</v>
      </c>
      <c r="O27" s="1" t="s">
        <v>258</v>
      </c>
      <c r="Q27" s="1" t="s">
        <v>259</v>
      </c>
      <c r="R27" s="1" t="s">
        <v>41</v>
      </c>
    </row>
    <row r="28">
      <c r="A28" s="3">
        <v>27.0</v>
      </c>
      <c r="B28" s="5" t="str">
        <f>HYPERLINK("https://www.adequateinfosoft.com/","Adequate Infosoft Pvt. Ltd")</f>
        <v>Adequate Infosoft Pvt. Ltd</v>
      </c>
      <c r="C28" s="6" t="s">
        <v>260</v>
      </c>
      <c r="D28" s="1" t="s">
        <v>261</v>
      </c>
      <c r="E28" s="6" t="s">
        <v>262</v>
      </c>
      <c r="F28" s="1" t="s">
        <v>263</v>
      </c>
      <c r="G28" s="7" t="s">
        <v>264</v>
      </c>
      <c r="H28" s="6" t="s">
        <v>265</v>
      </c>
      <c r="I28" s="7" t="s">
        <v>266</v>
      </c>
      <c r="J28" s="3">
        <v>2015.0</v>
      </c>
      <c r="K28" s="1" t="s">
        <v>35</v>
      </c>
      <c r="L28" s="1" t="s">
        <v>36</v>
      </c>
      <c r="M28" s="1" t="s">
        <v>37</v>
      </c>
      <c r="N28" s="1" t="s">
        <v>38</v>
      </c>
      <c r="O28" s="1" t="s">
        <v>267</v>
      </c>
      <c r="Q28" s="1" t="s">
        <v>268</v>
      </c>
      <c r="R28" s="1" t="s">
        <v>41</v>
      </c>
    </row>
    <row r="29">
      <c r="A29" s="3">
        <v>28.0</v>
      </c>
      <c r="B29" s="5" t="str">
        <f>HYPERLINK("https://www.adhocsoftwares.com/","Adhoc Softwares INC")</f>
        <v>Adhoc Softwares INC</v>
      </c>
      <c r="C29" s="6" t="s">
        <v>269</v>
      </c>
      <c r="D29" s="1" t="s">
        <v>270</v>
      </c>
      <c r="E29" s="6" t="s">
        <v>271</v>
      </c>
      <c r="F29" s="1" t="s">
        <v>272</v>
      </c>
      <c r="G29" s="7" t="s">
        <v>273</v>
      </c>
      <c r="J29" s="3">
        <v>2001.0</v>
      </c>
      <c r="K29" s="1" t="s">
        <v>35</v>
      </c>
      <c r="L29" s="1" t="s">
        <v>36</v>
      </c>
      <c r="M29" s="1" t="s">
        <v>37</v>
      </c>
      <c r="N29" s="1" t="s">
        <v>38</v>
      </c>
      <c r="O29" s="1" t="s">
        <v>274</v>
      </c>
      <c r="Q29" s="1" t="s">
        <v>275</v>
      </c>
      <c r="R29" s="1" t="s">
        <v>41</v>
      </c>
    </row>
    <row r="30">
      <c r="A30" s="3">
        <v>29.0</v>
      </c>
      <c r="B30" s="5" t="str">
        <f>HYPERLINK("https://adsumoriginator.com/","Adsum Originator LLP")</f>
        <v>Adsum Originator LLP</v>
      </c>
      <c r="C30" s="6" t="s">
        <v>276</v>
      </c>
      <c r="D30" s="1" t="s">
        <v>277</v>
      </c>
      <c r="E30" s="6" t="s">
        <v>278</v>
      </c>
      <c r="F30" s="1" t="s">
        <v>279</v>
      </c>
      <c r="G30" s="7" t="s">
        <v>280</v>
      </c>
      <c r="H30" s="6" t="s">
        <v>281</v>
      </c>
      <c r="I30" s="7" t="s">
        <v>282</v>
      </c>
      <c r="J30" s="3">
        <v>2017.0</v>
      </c>
      <c r="K30" s="1" t="s">
        <v>35</v>
      </c>
      <c r="L30" s="1" t="s">
        <v>36</v>
      </c>
      <c r="M30" s="1" t="s">
        <v>37</v>
      </c>
      <c r="N30" s="1" t="s">
        <v>38</v>
      </c>
      <c r="O30" s="1" t="s">
        <v>283</v>
      </c>
      <c r="Q30" s="1" t="s">
        <v>284</v>
      </c>
      <c r="R30" s="1" t="s">
        <v>41</v>
      </c>
    </row>
    <row r="31">
      <c r="A31" s="3">
        <v>30.0</v>
      </c>
      <c r="B31" s="5" t="str">
        <f>HYPERLINK("https://www.advanceecomsolutions.com/","AES Technologies India Private Limited")</f>
        <v>AES Technologies India Private Limited</v>
      </c>
      <c r="C31" s="6" t="s">
        <v>285</v>
      </c>
      <c r="D31" s="1" t="s">
        <v>286</v>
      </c>
      <c r="E31" s="6" t="s">
        <v>287</v>
      </c>
      <c r="F31" s="1" t="s">
        <v>288</v>
      </c>
      <c r="G31" s="7" t="s">
        <v>289</v>
      </c>
      <c r="H31" s="6" t="s">
        <v>290</v>
      </c>
      <c r="J31" s="3">
        <v>1998.0</v>
      </c>
      <c r="K31" s="1" t="s">
        <v>35</v>
      </c>
      <c r="L31" s="1" t="s">
        <v>67</v>
      </c>
      <c r="M31" s="1" t="s">
        <v>68</v>
      </c>
      <c r="N31" s="1" t="s">
        <v>38</v>
      </c>
      <c r="O31" s="1" t="s">
        <v>291</v>
      </c>
      <c r="Q31" s="1" t="s">
        <v>292</v>
      </c>
      <c r="R31" s="1" t="s">
        <v>41</v>
      </c>
    </row>
    <row r="32">
      <c r="A32" s="3">
        <v>31.0</v>
      </c>
      <c r="B32" s="5" t="str">
        <f>HYPERLINK("http://www.adventsys.in","AdventSys Technologies Private Limited")</f>
        <v>AdventSys Technologies Private Limited</v>
      </c>
      <c r="C32" s="6" t="s">
        <v>293</v>
      </c>
      <c r="D32" s="1" t="s">
        <v>294</v>
      </c>
      <c r="E32" s="6" t="s">
        <v>295</v>
      </c>
      <c r="F32" s="1" t="s">
        <v>296</v>
      </c>
      <c r="G32" s="7" t="s">
        <v>297</v>
      </c>
      <c r="H32" s="6" t="s">
        <v>298</v>
      </c>
      <c r="J32" s="3">
        <v>2015.0</v>
      </c>
      <c r="K32" s="1" t="s">
        <v>35</v>
      </c>
      <c r="L32" s="1" t="s">
        <v>67</v>
      </c>
      <c r="M32" s="1" t="s">
        <v>68</v>
      </c>
      <c r="N32" s="1" t="s">
        <v>38</v>
      </c>
      <c r="O32" s="1" t="s">
        <v>299</v>
      </c>
      <c r="Q32" s="1" t="s">
        <v>300</v>
      </c>
      <c r="R32" s="1" t="s">
        <v>41</v>
      </c>
    </row>
    <row r="33">
      <c r="A33" s="3">
        <v>32.0</v>
      </c>
      <c r="B33" s="5" t="str">
        <f>HYPERLINK("https://www.advmedia.in","ADVMEDIA")</f>
        <v>ADVMEDIA</v>
      </c>
      <c r="C33" s="6" t="s">
        <v>301</v>
      </c>
      <c r="D33" s="1" t="s">
        <v>302</v>
      </c>
      <c r="E33" s="6" t="s">
        <v>303</v>
      </c>
      <c r="F33" s="1" t="s">
        <v>304</v>
      </c>
      <c r="G33" s="7" t="s">
        <v>305</v>
      </c>
      <c r="J33" s="3">
        <v>2011.0</v>
      </c>
      <c r="K33" s="1" t="s">
        <v>35</v>
      </c>
      <c r="L33" s="1" t="s">
        <v>36</v>
      </c>
      <c r="M33" s="1" t="s">
        <v>37</v>
      </c>
      <c r="N33" s="1" t="s">
        <v>38</v>
      </c>
      <c r="O33" s="1" t="s">
        <v>306</v>
      </c>
      <c r="Q33" s="1" t="s">
        <v>307</v>
      </c>
      <c r="R33" s="1" t="s">
        <v>41</v>
      </c>
    </row>
    <row r="34">
      <c r="A34" s="3">
        <v>33.0</v>
      </c>
      <c r="B34" s="5" t="str">
        <f>HYPERLINK("http://www.agency09.in","AGENCY09")</f>
        <v>AGENCY09</v>
      </c>
      <c r="C34" s="6" t="s">
        <v>308</v>
      </c>
      <c r="D34" s="1" t="s">
        <v>309</v>
      </c>
      <c r="E34" s="6" t="s">
        <v>310</v>
      </c>
      <c r="F34" s="1" t="s">
        <v>311</v>
      </c>
      <c r="G34" s="7" t="s">
        <v>312</v>
      </c>
      <c r="H34" s="6" t="s">
        <v>313</v>
      </c>
      <c r="I34" s="7" t="s">
        <v>314</v>
      </c>
      <c r="J34" s="3">
        <v>2013.0</v>
      </c>
      <c r="K34" s="1" t="s">
        <v>35</v>
      </c>
      <c r="L34" s="1" t="s">
        <v>36</v>
      </c>
      <c r="M34" s="1" t="s">
        <v>37</v>
      </c>
      <c r="N34" s="1" t="s">
        <v>38</v>
      </c>
      <c r="O34" s="1" t="s">
        <v>315</v>
      </c>
      <c r="Q34" s="1" t="s">
        <v>316</v>
      </c>
      <c r="R34" s="1" t="s">
        <v>41</v>
      </c>
    </row>
    <row r="35">
      <c r="A35" s="3">
        <v>34.0</v>
      </c>
      <c r="B35" s="5" t="str">
        <f>HYPERLINK("https://www.agilecube.com","AgileCube Technologies")</f>
        <v>AgileCube Technologies</v>
      </c>
      <c r="C35" s="6" t="s">
        <v>317</v>
      </c>
      <c r="D35" s="1" t="s">
        <v>318</v>
      </c>
      <c r="E35" s="6" t="s">
        <v>319</v>
      </c>
      <c r="F35" s="1" t="s">
        <v>320</v>
      </c>
      <c r="G35" s="7" t="s">
        <v>321</v>
      </c>
      <c r="J35" s="3">
        <v>2011.0</v>
      </c>
      <c r="K35" s="1" t="s">
        <v>35</v>
      </c>
      <c r="L35" s="1" t="s">
        <v>36</v>
      </c>
      <c r="M35" s="1" t="s">
        <v>37</v>
      </c>
      <c r="N35" s="1" t="s">
        <v>38</v>
      </c>
      <c r="O35" s="1" t="s">
        <v>322</v>
      </c>
      <c r="Q35" s="1" t="s">
        <v>323</v>
      </c>
      <c r="R35" s="1" t="s">
        <v>41</v>
      </c>
    </row>
    <row r="36">
      <c r="A36" s="3">
        <v>35.0</v>
      </c>
      <c r="B36" s="5" t="str">
        <f>HYPERLINK("https://aglowiditsolutions.com","Aglowid It Solutions")</f>
        <v>Aglowid It Solutions</v>
      </c>
      <c r="C36" s="6" t="s">
        <v>324</v>
      </c>
      <c r="D36" s="1" t="s">
        <v>325</v>
      </c>
      <c r="E36" s="6" t="s">
        <v>326</v>
      </c>
      <c r="F36" s="1" t="s">
        <v>327</v>
      </c>
      <c r="G36" s="7" t="s">
        <v>328</v>
      </c>
      <c r="H36" s="6" t="s">
        <v>329</v>
      </c>
      <c r="I36" s="7" t="s">
        <v>330</v>
      </c>
      <c r="J36" s="3">
        <v>2018.0</v>
      </c>
      <c r="K36" s="1" t="s">
        <v>35</v>
      </c>
      <c r="L36" s="1" t="s">
        <v>36</v>
      </c>
      <c r="M36" s="1" t="s">
        <v>37</v>
      </c>
      <c r="N36" s="1" t="s">
        <v>38</v>
      </c>
      <c r="O36" s="1" t="s">
        <v>331</v>
      </c>
      <c r="Q36" s="1" t="s">
        <v>332</v>
      </c>
      <c r="R36" s="1" t="s">
        <v>41</v>
      </c>
    </row>
    <row r="37">
      <c r="A37" s="3">
        <v>36.0</v>
      </c>
      <c r="B37" s="5" t="str">
        <f>HYPERLINK("https://www.agtindia.com/","AGT India")</f>
        <v>AGT India</v>
      </c>
      <c r="C37" s="6" t="s">
        <v>333</v>
      </c>
      <c r="D37" s="1" t="s">
        <v>334</v>
      </c>
      <c r="E37" s="6" t="s">
        <v>335</v>
      </c>
      <c r="F37" s="1" t="s">
        <v>336</v>
      </c>
      <c r="G37" s="7" t="s">
        <v>337</v>
      </c>
      <c r="J37" s="3">
        <v>2013.0</v>
      </c>
      <c r="K37" s="1" t="s">
        <v>35</v>
      </c>
      <c r="L37" s="1" t="s">
        <v>36</v>
      </c>
      <c r="M37" s="1" t="s">
        <v>37</v>
      </c>
      <c r="N37" s="1" t="s">
        <v>38</v>
      </c>
      <c r="O37" s="1" t="s">
        <v>338</v>
      </c>
      <c r="Q37" s="1" t="s">
        <v>339</v>
      </c>
      <c r="R37" s="1" t="s">
        <v>41</v>
      </c>
    </row>
    <row r="38">
      <c r="A38" s="3">
        <v>37.0</v>
      </c>
      <c r="B38" s="5" t="str">
        <f>HYPERLINK("https://aicanservices.com","Aican Private Limited")</f>
        <v>Aican Private Limited</v>
      </c>
      <c r="C38" s="6" t="s">
        <v>340</v>
      </c>
      <c r="D38" s="1" t="s">
        <v>341</v>
      </c>
      <c r="E38" s="6" t="s">
        <v>342</v>
      </c>
      <c r="F38" s="1" t="s">
        <v>343</v>
      </c>
      <c r="G38" s="7" t="s">
        <v>344</v>
      </c>
      <c r="H38" s="6" t="s">
        <v>345</v>
      </c>
      <c r="I38" s="7" t="s">
        <v>346</v>
      </c>
      <c r="J38" s="3">
        <v>2022.0</v>
      </c>
      <c r="K38" s="1" t="s">
        <v>35</v>
      </c>
      <c r="L38" s="1" t="s">
        <v>36</v>
      </c>
      <c r="M38" s="1" t="s">
        <v>37</v>
      </c>
      <c r="N38" s="1" t="s">
        <v>38</v>
      </c>
      <c r="O38" s="1" t="s">
        <v>347</v>
      </c>
      <c r="Q38" s="1" t="s">
        <v>348</v>
      </c>
      <c r="R38" s="1" t="s">
        <v>41</v>
      </c>
    </row>
    <row r="39">
      <c r="A39" s="3">
        <v>38.0</v>
      </c>
      <c r="B39" s="5" t="str">
        <f>HYPERLINK("https://aiderpro.com/","AiderPro Technologies")</f>
        <v>AiderPro Technologies</v>
      </c>
      <c r="C39" s="6" t="s">
        <v>349</v>
      </c>
      <c r="D39" s="1" t="s">
        <v>350</v>
      </c>
      <c r="E39" s="6" t="s">
        <v>351</v>
      </c>
      <c r="F39" s="1" t="s">
        <v>352</v>
      </c>
      <c r="G39" s="7" t="s">
        <v>353</v>
      </c>
      <c r="H39" s="6" t="s">
        <v>354</v>
      </c>
      <c r="I39" s="7" t="s">
        <v>355</v>
      </c>
      <c r="J39" s="3">
        <v>2013.0</v>
      </c>
      <c r="K39" s="1" t="s">
        <v>35</v>
      </c>
      <c r="L39" s="1" t="s">
        <v>36</v>
      </c>
      <c r="M39" s="1" t="s">
        <v>37</v>
      </c>
      <c r="N39" s="1" t="s">
        <v>38</v>
      </c>
      <c r="O39" s="1" t="s">
        <v>356</v>
      </c>
      <c r="Q39" s="1" t="s">
        <v>357</v>
      </c>
      <c r="R39" s="1" t="s">
        <v>41</v>
      </c>
    </row>
    <row r="40">
      <c r="A40" s="3">
        <v>39.0</v>
      </c>
      <c r="B40" s="5" t="str">
        <f>HYPERLINK("https://www.ailoitte.com/?utm_source=goodfirms&amp;utm_medium=referral&amp;utm_campaign=Goodfirms+FL","Ailoitte")</f>
        <v>Ailoitte</v>
      </c>
      <c r="C40" s="6" t="s">
        <v>358</v>
      </c>
      <c r="D40" s="1" t="s">
        <v>359</v>
      </c>
      <c r="E40" s="6" t="s">
        <v>360</v>
      </c>
      <c r="F40" s="1" t="s">
        <v>361</v>
      </c>
      <c r="G40" s="7" t="s">
        <v>362</v>
      </c>
      <c r="H40" s="6" t="s">
        <v>363</v>
      </c>
      <c r="J40" s="3">
        <v>2017.0</v>
      </c>
      <c r="K40" s="1" t="s">
        <v>35</v>
      </c>
      <c r="L40" s="1" t="s">
        <v>67</v>
      </c>
      <c r="M40" s="1" t="s">
        <v>68</v>
      </c>
      <c r="N40" s="1" t="s">
        <v>38</v>
      </c>
      <c r="O40" s="1" t="s">
        <v>364</v>
      </c>
      <c r="Q40" s="1" t="s">
        <v>365</v>
      </c>
      <c r="R40" s="1" t="s">
        <v>41</v>
      </c>
    </row>
    <row r="41">
      <c r="A41" s="3">
        <v>40.0</v>
      </c>
      <c r="B41" s="5" t="str">
        <f>HYPERLINK("https://www.aimbeat.com","Aimbeat")</f>
        <v>Aimbeat</v>
      </c>
      <c r="C41" s="6" t="s">
        <v>366</v>
      </c>
      <c r="D41" s="1" t="s">
        <v>367</v>
      </c>
      <c r="E41" s="6" t="s">
        <v>368</v>
      </c>
      <c r="F41" s="1" t="s">
        <v>369</v>
      </c>
      <c r="G41" s="7" t="s">
        <v>370</v>
      </c>
      <c r="H41" s="6" t="s">
        <v>371</v>
      </c>
      <c r="I41" s="7" t="s">
        <v>372</v>
      </c>
      <c r="J41" s="3">
        <v>2011.0</v>
      </c>
      <c r="K41" s="1" t="s">
        <v>35</v>
      </c>
      <c r="L41" s="1" t="s">
        <v>36</v>
      </c>
      <c r="M41" s="1" t="s">
        <v>37</v>
      </c>
      <c r="N41" s="1" t="s">
        <v>38</v>
      </c>
      <c r="O41" s="1" t="s">
        <v>373</v>
      </c>
      <c r="Q41" s="1" t="s">
        <v>374</v>
      </c>
      <c r="R41" s="1" t="s">
        <v>41</v>
      </c>
    </row>
    <row r="42">
      <c r="A42" s="3">
        <v>41.0</v>
      </c>
      <c r="B42" s="5" t="str">
        <f>HYPERLINK("https://aimbeattechnology.com/","Aimbeat Technology Pvt Ltd")</f>
        <v>Aimbeat Technology Pvt Ltd</v>
      </c>
      <c r="C42" s="6" t="s">
        <v>375</v>
      </c>
      <c r="D42" s="1" t="s">
        <v>376</v>
      </c>
      <c r="E42" s="6" t="s">
        <v>371</v>
      </c>
      <c r="F42" s="1" t="s">
        <v>377</v>
      </c>
      <c r="G42" s="7" t="s">
        <v>372</v>
      </c>
      <c r="J42" s="3">
        <v>2011.0</v>
      </c>
      <c r="K42" s="1" t="s">
        <v>35</v>
      </c>
      <c r="L42" s="1" t="s">
        <v>36</v>
      </c>
      <c r="M42" s="1" t="s">
        <v>37</v>
      </c>
      <c r="N42" s="1" t="s">
        <v>38</v>
      </c>
      <c r="O42" s="1" t="s">
        <v>378</v>
      </c>
      <c r="Q42" s="1" t="s">
        <v>379</v>
      </c>
      <c r="R42" s="1" t="s">
        <v>41</v>
      </c>
    </row>
    <row r="43">
      <c r="A43" s="3">
        <v>42.0</v>
      </c>
      <c r="B43" s="5" t="str">
        <f>HYPERLINK("https://airoglobal.com/","Airo Global Software")</f>
        <v>Airo Global Software</v>
      </c>
      <c r="C43" s="6" t="s">
        <v>380</v>
      </c>
      <c r="D43" s="1" t="s">
        <v>381</v>
      </c>
      <c r="E43" s="6" t="s">
        <v>382</v>
      </c>
      <c r="F43" s="1" t="s">
        <v>383</v>
      </c>
      <c r="G43" s="7" t="s">
        <v>384</v>
      </c>
      <c r="H43" s="6" t="s">
        <v>385</v>
      </c>
      <c r="J43" s="3">
        <v>2008.0</v>
      </c>
      <c r="K43" s="1" t="s">
        <v>35</v>
      </c>
      <c r="L43" s="1" t="s">
        <v>67</v>
      </c>
      <c r="M43" s="1" t="s">
        <v>68</v>
      </c>
      <c r="N43" s="1" t="s">
        <v>38</v>
      </c>
      <c r="O43" s="1" t="s">
        <v>386</v>
      </c>
      <c r="Q43" s="1" t="s">
        <v>387</v>
      </c>
      <c r="R43" s="1" t="s">
        <v>41</v>
      </c>
    </row>
    <row r="44">
      <c r="A44" s="3">
        <v>43.0</v>
      </c>
      <c r="B44" s="5" t="str">
        <f>HYPERLINK("https://airovo.tech","Airovo Technologies")</f>
        <v>Airovo Technologies</v>
      </c>
      <c r="C44" s="1" t="s">
        <v>388</v>
      </c>
      <c r="D44" s="1" t="s">
        <v>389</v>
      </c>
      <c r="E44" s="6" t="s">
        <v>390</v>
      </c>
      <c r="F44" s="1" t="s">
        <v>391</v>
      </c>
      <c r="G44" s="7" t="s">
        <v>392</v>
      </c>
      <c r="H44" s="6" t="s">
        <v>393</v>
      </c>
      <c r="I44" s="7" t="s">
        <v>394</v>
      </c>
      <c r="J44" s="3">
        <v>2021.0</v>
      </c>
      <c r="K44" s="1" t="s">
        <v>35</v>
      </c>
      <c r="L44" s="1" t="s">
        <v>36</v>
      </c>
      <c r="M44" s="1" t="s">
        <v>37</v>
      </c>
      <c r="N44" s="1" t="s">
        <v>38</v>
      </c>
      <c r="O44" s="1" t="s">
        <v>395</v>
      </c>
      <c r="Q44" s="1" t="s">
        <v>396</v>
      </c>
      <c r="R44" s="1" t="s">
        <v>41</v>
      </c>
    </row>
    <row r="45">
      <c r="A45" s="3">
        <v>44.0</v>
      </c>
      <c r="B45" s="5" t="str">
        <f>HYPERLINK("https://airoxa.in","AirOxa Innovative Solutions")</f>
        <v>AirOxa Innovative Solutions</v>
      </c>
      <c r="C45" s="6" t="s">
        <v>397</v>
      </c>
      <c r="D45" s="1" t="s">
        <v>398</v>
      </c>
      <c r="E45" s="6" t="s">
        <v>399</v>
      </c>
      <c r="F45" s="1" t="s">
        <v>400</v>
      </c>
      <c r="G45" s="7" t="s">
        <v>401</v>
      </c>
      <c r="J45" s="3">
        <v>2020.0</v>
      </c>
      <c r="K45" s="1" t="s">
        <v>35</v>
      </c>
      <c r="L45" s="1" t="s">
        <v>36</v>
      </c>
      <c r="M45" s="1" t="s">
        <v>37</v>
      </c>
      <c r="N45" s="1" t="s">
        <v>38</v>
      </c>
      <c r="O45" s="1" t="s">
        <v>402</v>
      </c>
      <c r="Q45" s="1" t="s">
        <v>403</v>
      </c>
      <c r="R45" s="1" t="s">
        <v>41</v>
      </c>
    </row>
    <row r="46">
      <c r="A46" s="3">
        <v>45.0</v>
      </c>
      <c r="B46" s="5" t="str">
        <f>HYPERLINK("https://aiveda.io","AIVEDA")</f>
        <v>AIVEDA</v>
      </c>
      <c r="C46" s="6" t="s">
        <v>404</v>
      </c>
      <c r="D46" s="1" t="s">
        <v>405</v>
      </c>
      <c r="E46" s="6" t="s">
        <v>406</v>
      </c>
      <c r="F46" s="1" t="s">
        <v>407</v>
      </c>
      <c r="G46" s="7" t="s">
        <v>408</v>
      </c>
      <c r="H46" s="6" t="s">
        <v>409</v>
      </c>
      <c r="I46" s="7" t="s">
        <v>410</v>
      </c>
      <c r="J46" s="3">
        <v>2022.0</v>
      </c>
      <c r="K46" s="1" t="s">
        <v>35</v>
      </c>
      <c r="L46" s="1" t="s">
        <v>67</v>
      </c>
      <c r="M46" s="1" t="s">
        <v>68</v>
      </c>
      <c r="N46" s="1" t="s">
        <v>38</v>
      </c>
      <c r="O46" s="1" t="s">
        <v>411</v>
      </c>
      <c r="Q46" s="1" t="s">
        <v>412</v>
      </c>
      <c r="R46" s="1" t="s">
        <v>41</v>
      </c>
    </row>
    <row r="47">
      <c r="A47" s="3">
        <v>46.0</v>
      </c>
      <c r="B47" s="5" t="str">
        <f>HYPERLINK("https://akilisystems.in/","Akili Systems")</f>
        <v>Akili Systems</v>
      </c>
      <c r="C47" s="6" t="s">
        <v>413</v>
      </c>
      <c r="D47" s="1" t="s">
        <v>414</v>
      </c>
      <c r="E47" s="6" t="s">
        <v>415</v>
      </c>
      <c r="F47" s="1" t="s">
        <v>416</v>
      </c>
      <c r="G47" s="7" t="s">
        <v>417</v>
      </c>
      <c r="J47" s="3">
        <v>2017.0</v>
      </c>
      <c r="K47" s="1" t="s">
        <v>35</v>
      </c>
      <c r="L47" s="1" t="s">
        <v>36</v>
      </c>
      <c r="M47" s="1" t="s">
        <v>37</v>
      </c>
      <c r="N47" s="1" t="s">
        <v>38</v>
      </c>
      <c r="O47" s="1" t="s">
        <v>418</v>
      </c>
      <c r="Q47" s="1" t="s">
        <v>419</v>
      </c>
      <c r="R47" s="1" t="s">
        <v>41</v>
      </c>
    </row>
    <row r="48">
      <c r="A48" s="3">
        <v>47.0</v>
      </c>
      <c r="B48" s="5" t="str">
        <f>HYPERLINK("http://www.aktivsoftware.com/","Aktiv Software")</f>
        <v>Aktiv Software</v>
      </c>
      <c r="C48" s="6" t="s">
        <v>420</v>
      </c>
      <c r="D48" s="1" t="s">
        <v>421</v>
      </c>
      <c r="E48" s="6" t="s">
        <v>422</v>
      </c>
      <c r="F48" s="1" t="s">
        <v>423</v>
      </c>
      <c r="G48" s="7" t="s">
        <v>424</v>
      </c>
      <c r="H48" s="6" t="s">
        <v>425</v>
      </c>
      <c r="I48" s="7" t="s">
        <v>426</v>
      </c>
      <c r="J48" s="3">
        <v>2015.0</v>
      </c>
      <c r="K48" s="1" t="s">
        <v>35</v>
      </c>
      <c r="L48" s="1" t="s">
        <v>67</v>
      </c>
      <c r="M48" s="1" t="s">
        <v>68</v>
      </c>
      <c r="N48" s="1" t="s">
        <v>38</v>
      </c>
      <c r="O48" s="1" t="s">
        <v>427</v>
      </c>
      <c r="Q48" s="1" t="s">
        <v>428</v>
      </c>
      <c r="R48" s="1" t="s">
        <v>41</v>
      </c>
    </row>
    <row r="49">
      <c r="A49" s="3">
        <v>48.0</v>
      </c>
      <c r="B49" s="5" t="str">
        <f>HYPERLINK("https://www.alcax.com/","Alcax Solutions")</f>
        <v>Alcax Solutions</v>
      </c>
      <c r="C49" s="6" t="s">
        <v>429</v>
      </c>
      <c r="D49" s="1" t="s">
        <v>430</v>
      </c>
      <c r="E49" s="6" t="s">
        <v>431</v>
      </c>
      <c r="F49" s="1" t="s">
        <v>432</v>
      </c>
      <c r="G49" s="7" t="s">
        <v>433</v>
      </c>
      <c r="J49" s="3">
        <v>2002.0</v>
      </c>
      <c r="K49" s="1" t="s">
        <v>35</v>
      </c>
      <c r="L49" s="1" t="s">
        <v>67</v>
      </c>
      <c r="M49" s="1" t="s">
        <v>68</v>
      </c>
      <c r="N49" s="1" t="s">
        <v>38</v>
      </c>
      <c r="O49" s="1" t="s">
        <v>434</v>
      </c>
      <c r="Q49" s="1" t="s">
        <v>435</v>
      </c>
      <c r="R49" s="1" t="s">
        <v>41</v>
      </c>
    </row>
    <row r="50">
      <c r="A50" s="3">
        <v>49.0</v>
      </c>
      <c r="B50" s="5" t="str">
        <f>HYPERLINK("https://www.aleaitsolutions.com","ALEAIT SOLUTIONS PVT. LTD.")</f>
        <v>ALEAIT SOLUTIONS PVT. LTD.</v>
      </c>
      <c r="C50" s="6" t="s">
        <v>436</v>
      </c>
      <c r="D50" s="1" t="s">
        <v>437</v>
      </c>
      <c r="E50" s="6" t="s">
        <v>438</v>
      </c>
      <c r="F50" s="1" t="s">
        <v>439</v>
      </c>
      <c r="G50" s="7" t="s">
        <v>440</v>
      </c>
      <c r="H50" s="6" t="s">
        <v>441</v>
      </c>
      <c r="I50" s="7" t="s">
        <v>442</v>
      </c>
      <c r="J50" s="3">
        <v>2004.0</v>
      </c>
      <c r="K50" s="1" t="s">
        <v>35</v>
      </c>
      <c r="L50" s="1" t="s">
        <v>36</v>
      </c>
      <c r="M50" s="1" t="s">
        <v>37</v>
      </c>
      <c r="N50" s="1" t="s">
        <v>38</v>
      </c>
      <c r="O50" s="1" t="s">
        <v>443</v>
      </c>
      <c r="Q50" s="1" t="s">
        <v>444</v>
      </c>
      <c r="R50" s="1" t="s">
        <v>41</v>
      </c>
    </row>
    <row r="51">
      <c r="A51" s="3">
        <v>50.0</v>
      </c>
      <c r="B51" s="5" t="str">
        <f>HYPERLINK("https://www.allianzetechnologies.com/","Allianze Technologies")</f>
        <v>Allianze Technologies</v>
      </c>
      <c r="C51" s="6" t="s">
        <v>445</v>
      </c>
      <c r="D51" s="1" t="s">
        <v>446</v>
      </c>
      <c r="E51" s="6" t="s">
        <v>447</v>
      </c>
      <c r="F51" s="1" t="s">
        <v>448</v>
      </c>
      <c r="G51" s="7" t="s">
        <v>449</v>
      </c>
      <c r="J51" s="3">
        <v>2011.0</v>
      </c>
      <c r="K51" s="1" t="s">
        <v>35</v>
      </c>
      <c r="L51" s="1" t="s">
        <v>67</v>
      </c>
      <c r="M51" s="1" t="s">
        <v>68</v>
      </c>
      <c r="N51" s="1" t="s">
        <v>38</v>
      </c>
      <c r="O51" s="1" t="s">
        <v>450</v>
      </c>
      <c r="Q51" s="1" t="s">
        <v>451</v>
      </c>
      <c r="R51" s="1" t="s">
        <v>41</v>
      </c>
    </row>
    <row r="52">
      <c r="A52" s="3">
        <v>51.0</v>
      </c>
      <c r="B52" s="5" t="str">
        <f>HYPERLINK("https://alliedge.in","Alliedge Technologies Pvt Ltd")</f>
        <v>Alliedge Technologies Pvt Ltd</v>
      </c>
      <c r="C52" s="6" t="s">
        <v>452</v>
      </c>
      <c r="D52" s="1" t="s">
        <v>453</v>
      </c>
      <c r="E52" s="6" t="s">
        <v>454</v>
      </c>
      <c r="F52" s="1" t="s">
        <v>455</v>
      </c>
      <c r="G52" s="7" t="s">
        <v>456</v>
      </c>
      <c r="H52" s="6" t="s">
        <v>457</v>
      </c>
      <c r="J52" s="3">
        <v>2021.0</v>
      </c>
      <c r="K52" s="1" t="s">
        <v>35</v>
      </c>
      <c r="L52" s="1" t="s">
        <v>36</v>
      </c>
      <c r="M52" s="1" t="s">
        <v>37</v>
      </c>
      <c r="N52" s="1" t="s">
        <v>38</v>
      </c>
      <c r="O52" s="1" t="s">
        <v>458</v>
      </c>
      <c r="Q52" s="1" t="s">
        <v>459</v>
      </c>
      <c r="R52" s="1" t="s">
        <v>41</v>
      </c>
    </row>
    <row r="53">
      <c r="A53" s="3">
        <v>52.0</v>
      </c>
      <c r="B53" s="5" t="str">
        <f>HYPERLINK("https://alphaklick.com/","AlphaKlick Solutions")</f>
        <v>AlphaKlick Solutions</v>
      </c>
      <c r="C53" s="6" t="s">
        <v>460</v>
      </c>
      <c r="D53" s="1" t="s">
        <v>461</v>
      </c>
      <c r="E53" s="6" t="s">
        <v>462</v>
      </c>
      <c r="F53" s="1" t="s">
        <v>463</v>
      </c>
      <c r="G53" s="7" t="s">
        <v>464</v>
      </c>
      <c r="J53" s="3">
        <v>2016.0</v>
      </c>
      <c r="K53" s="1" t="s">
        <v>35</v>
      </c>
      <c r="L53" s="1" t="s">
        <v>36</v>
      </c>
      <c r="M53" s="1" t="s">
        <v>37</v>
      </c>
      <c r="N53" s="1" t="s">
        <v>38</v>
      </c>
      <c r="O53" s="1" t="s">
        <v>465</v>
      </c>
      <c r="Q53" s="1" t="s">
        <v>466</v>
      </c>
      <c r="R53" s="1" t="s">
        <v>41</v>
      </c>
    </row>
    <row r="54">
      <c r="A54" s="3">
        <v>53.0</v>
      </c>
      <c r="B54" s="5" t="str">
        <f>HYPERLINK("https://alphre.com/","Alphre")</f>
        <v>Alphre</v>
      </c>
      <c r="C54" s="6" t="s">
        <v>467</v>
      </c>
      <c r="D54" s="1" t="s">
        <v>468</v>
      </c>
      <c r="E54" s="6" t="s">
        <v>469</v>
      </c>
      <c r="F54" s="1" t="s">
        <v>470</v>
      </c>
      <c r="G54" s="7" t="s">
        <v>471</v>
      </c>
      <c r="J54" s="3">
        <v>2021.0</v>
      </c>
      <c r="K54" s="1" t="s">
        <v>35</v>
      </c>
      <c r="L54" s="1" t="s">
        <v>36</v>
      </c>
      <c r="M54" s="1" t="s">
        <v>37</v>
      </c>
      <c r="N54" s="1" t="s">
        <v>38</v>
      </c>
      <c r="O54" s="1" t="s">
        <v>472</v>
      </c>
      <c r="Q54" s="1" t="s">
        <v>473</v>
      </c>
      <c r="R54" s="1" t="s">
        <v>41</v>
      </c>
    </row>
    <row r="55">
      <c r="A55" s="3">
        <v>54.0</v>
      </c>
      <c r="B55" s="5" t="str">
        <f>HYPERLINK("http://alpinesoftsolution.com","Alpine Software")</f>
        <v>Alpine Software</v>
      </c>
      <c r="C55" s="6" t="s">
        <v>474</v>
      </c>
      <c r="D55" s="1" t="s">
        <v>475</v>
      </c>
      <c r="E55" s="6" t="s">
        <v>476</v>
      </c>
      <c r="F55" s="1" t="s">
        <v>477</v>
      </c>
      <c r="G55" s="7" t="s">
        <v>478</v>
      </c>
      <c r="H55" s="6" t="s">
        <v>479</v>
      </c>
      <c r="I55" s="7" t="s">
        <v>480</v>
      </c>
      <c r="J55" s="3">
        <v>2017.0</v>
      </c>
      <c r="K55" s="1" t="s">
        <v>35</v>
      </c>
      <c r="L55" s="1" t="s">
        <v>36</v>
      </c>
      <c r="M55" s="1" t="s">
        <v>37</v>
      </c>
      <c r="N55" s="1" t="s">
        <v>38</v>
      </c>
      <c r="O55" s="1" t="s">
        <v>481</v>
      </c>
      <c r="Q55" s="1" t="s">
        <v>482</v>
      </c>
      <c r="R55" s="1" t="s">
        <v>41</v>
      </c>
    </row>
    <row r="56">
      <c r="A56" s="3">
        <v>55.0</v>
      </c>
      <c r="B56" s="5" t="str">
        <f>HYPERLINK("https://www.altd.in/","ALT-D Technologies LLP")</f>
        <v>ALT-D Technologies LLP</v>
      </c>
      <c r="C56" s="6" t="s">
        <v>483</v>
      </c>
      <c r="D56" s="1" t="s">
        <v>484</v>
      </c>
      <c r="E56" s="6" t="s">
        <v>485</v>
      </c>
      <c r="F56" s="1" t="s">
        <v>486</v>
      </c>
      <c r="G56" s="7" t="s">
        <v>487</v>
      </c>
      <c r="H56" s="6" t="s">
        <v>488</v>
      </c>
      <c r="I56" s="7" t="s">
        <v>489</v>
      </c>
      <c r="J56" s="3">
        <v>2011.0</v>
      </c>
      <c r="K56" s="1" t="s">
        <v>35</v>
      </c>
      <c r="L56" s="1" t="s">
        <v>36</v>
      </c>
      <c r="M56" s="1" t="s">
        <v>37</v>
      </c>
      <c r="N56" s="1" t="s">
        <v>38</v>
      </c>
      <c r="O56" s="1" t="s">
        <v>490</v>
      </c>
      <c r="Q56" s="1" t="s">
        <v>491</v>
      </c>
      <c r="R56" s="1" t="s">
        <v>41</v>
      </c>
    </row>
    <row r="57">
      <c r="A57" s="3">
        <v>56.0</v>
      </c>
      <c r="B57" s="5" t="str">
        <f>HYPERLINK("https://altersquare.io/","AlterSquare")</f>
        <v>AlterSquare</v>
      </c>
      <c r="C57" s="6" t="s">
        <v>492</v>
      </c>
      <c r="D57" s="1" t="s">
        <v>493</v>
      </c>
      <c r="E57" s="6" t="s">
        <v>494</v>
      </c>
      <c r="F57" s="1" t="s">
        <v>495</v>
      </c>
      <c r="G57" s="7" t="s">
        <v>496</v>
      </c>
      <c r="H57" s="6" t="s">
        <v>497</v>
      </c>
      <c r="I57" s="7" t="s">
        <v>498</v>
      </c>
      <c r="J57" s="3">
        <v>2018.0</v>
      </c>
      <c r="K57" s="1" t="s">
        <v>35</v>
      </c>
      <c r="L57" s="1" t="s">
        <v>36</v>
      </c>
      <c r="M57" s="1" t="s">
        <v>37</v>
      </c>
      <c r="N57" s="1" t="s">
        <v>38</v>
      </c>
      <c r="O57" s="1" t="s">
        <v>499</v>
      </c>
      <c r="Q57" s="1" t="s">
        <v>500</v>
      </c>
      <c r="R57" s="1" t="s">
        <v>41</v>
      </c>
    </row>
    <row r="58">
      <c r="A58" s="3">
        <v>57.0</v>
      </c>
      <c r="B58" s="5" t="str">
        <f>HYPERLINK("https://ambab.com/","Ambab Infotech Pvt. Ltd.")</f>
        <v>Ambab Infotech Pvt. Ltd.</v>
      </c>
      <c r="C58" s="6" t="s">
        <v>501</v>
      </c>
      <c r="D58" s="1" t="s">
        <v>502</v>
      </c>
      <c r="E58" s="6" t="s">
        <v>503</v>
      </c>
      <c r="F58" s="1" t="s">
        <v>504</v>
      </c>
      <c r="G58" s="7" t="s">
        <v>505</v>
      </c>
      <c r="J58" s="3">
        <v>2008.0</v>
      </c>
      <c r="K58" s="1" t="s">
        <v>35</v>
      </c>
      <c r="L58" s="1" t="s">
        <v>67</v>
      </c>
      <c r="M58" s="1" t="s">
        <v>68</v>
      </c>
      <c r="N58" s="1" t="s">
        <v>38</v>
      </c>
      <c r="O58" s="1" t="s">
        <v>506</v>
      </c>
      <c r="Q58" s="1" t="s">
        <v>507</v>
      </c>
      <c r="R58" s="1" t="s">
        <v>41</v>
      </c>
    </row>
    <row r="59">
      <c r="A59" s="3">
        <v>58.0</v>
      </c>
      <c r="B59" s="5" t="str">
        <f>HYPERLINK("https://www.ambiguous.in/","Ambiguous Solutions")</f>
        <v>Ambiguous Solutions</v>
      </c>
      <c r="C59" s="6" t="s">
        <v>508</v>
      </c>
      <c r="D59" s="1" t="s">
        <v>509</v>
      </c>
      <c r="E59" s="6" t="s">
        <v>510</v>
      </c>
      <c r="F59" s="1" t="s">
        <v>511</v>
      </c>
      <c r="G59" s="7" t="s">
        <v>512</v>
      </c>
      <c r="I59" s="7" t="s">
        <v>513</v>
      </c>
      <c r="J59" s="3">
        <v>2022.0</v>
      </c>
      <c r="K59" s="1" t="s">
        <v>35</v>
      </c>
      <c r="L59" s="1" t="s">
        <v>36</v>
      </c>
      <c r="M59" s="1" t="s">
        <v>37</v>
      </c>
      <c r="N59" s="1" t="s">
        <v>38</v>
      </c>
      <c r="O59" s="1" t="s">
        <v>514</v>
      </c>
      <c r="Q59" s="1" t="s">
        <v>515</v>
      </c>
      <c r="R59" s="1" t="s">
        <v>41</v>
      </c>
    </row>
    <row r="60">
      <c r="A60" s="3">
        <v>59.0</v>
      </c>
      <c r="B60" s="5" t="str">
        <f>HYPERLINK("https://www.amplewebsol.com","Ample Websol")</f>
        <v>Ample Websol</v>
      </c>
      <c r="C60" s="6" t="s">
        <v>516</v>
      </c>
      <c r="D60" s="1" t="s">
        <v>517</v>
      </c>
      <c r="E60" s="6" t="s">
        <v>518</v>
      </c>
      <c r="F60" s="1" t="s">
        <v>519</v>
      </c>
      <c r="G60" s="7" t="s">
        <v>520</v>
      </c>
      <c r="H60" s="6" t="s">
        <v>521</v>
      </c>
      <c r="J60" s="3">
        <v>2014.0</v>
      </c>
      <c r="K60" s="1" t="s">
        <v>35</v>
      </c>
      <c r="L60" s="1" t="s">
        <v>36</v>
      </c>
      <c r="M60" s="1" t="s">
        <v>37</v>
      </c>
      <c r="N60" s="1" t="s">
        <v>38</v>
      </c>
      <c r="O60" s="1" t="s">
        <v>522</v>
      </c>
      <c r="Q60" s="1" t="s">
        <v>523</v>
      </c>
      <c r="R60" s="1" t="s">
        <v>41</v>
      </c>
    </row>
    <row r="61">
      <c r="A61" s="3">
        <v>60.0</v>
      </c>
      <c r="B61" s="5" t="str">
        <f>HYPERLINK("https://analogueitsolutions.com/","Analogue IT Solutions")</f>
        <v>Analogue IT Solutions</v>
      </c>
      <c r="C61" s="6" t="s">
        <v>524</v>
      </c>
      <c r="D61" s="1" t="s">
        <v>525</v>
      </c>
      <c r="E61" s="6" t="s">
        <v>526</v>
      </c>
      <c r="F61" s="1" t="s">
        <v>527</v>
      </c>
      <c r="G61" s="7" t="s">
        <v>528</v>
      </c>
      <c r="H61" s="6" t="s">
        <v>529</v>
      </c>
      <c r="J61" s="3">
        <v>2017.0</v>
      </c>
      <c r="K61" s="1" t="s">
        <v>35</v>
      </c>
      <c r="L61" s="1" t="s">
        <v>36</v>
      </c>
      <c r="M61" s="1" t="s">
        <v>37</v>
      </c>
      <c r="N61" s="1" t="s">
        <v>38</v>
      </c>
      <c r="O61" s="1" t="s">
        <v>530</v>
      </c>
      <c r="Q61" s="1" t="s">
        <v>531</v>
      </c>
      <c r="R61" s="1" t="s">
        <v>41</v>
      </c>
    </row>
    <row r="62">
      <c r="A62" s="3">
        <v>61.0</v>
      </c>
      <c r="B62" s="5" t="str">
        <f>HYPERLINK("https://www.analytixit.com/","Analytix Solutions")</f>
        <v>Analytix Solutions</v>
      </c>
      <c r="C62" s="6" t="s">
        <v>532</v>
      </c>
      <c r="D62" s="1" t="s">
        <v>533</v>
      </c>
      <c r="E62" s="6" t="s">
        <v>534</v>
      </c>
      <c r="F62" s="1" t="s">
        <v>535</v>
      </c>
      <c r="G62" s="7" t="s">
        <v>536</v>
      </c>
      <c r="H62" s="6" t="s">
        <v>537</v>
      </c>
      <c r="I62" s="7" t="s">
        <v>538</v>
      </c>
      <c r="J62" s="3">
        <v>2005.0</v>
      </c>
      <c r="K62" s="1" t="s">
        <v>35</v>
      </c>
      <c r="L62" s="1" t="s">
        <v>95</v>
      </c>
      <c r="M62" s="1" t="s">
        <v>96</v>
      </c>
      <c r="N62" s="1" t="s">
        <v>97</v>
      </c>
      <c r="O62" s="1" t="s">
        <v>539</v>
      </c>
      <c r="Q62" s="1" t="s">
        <v>540</v>
      </c>
      <c r="R62" s="1" t="s">
        <v>41</v>
      </c>
    </row>
    <row r="63">
      <c r="A63" s="3">
        <v>62.0</v>
      </c>
      <c r="B63" s="5" t="str">
        <f>HYPERLINK("http://anciletech.com/","Ancile Technologies Pvt Ltd")</f>
        <v>Ancile Technologies Pvt Ltd</v>
      </c>
      <c r="C63" s="6" t="s">
        <v>541</v>
      </c>
      <c r="D63" s="1" t="s">
        <v>542</v>
      </c>
      <c r="E63" s="6" t="s">
        <v>543</v>
      </c>
      <c r="F63" s="1" t="s">
        <v>544</v>
      </c>
      <c r="G63" s="7" t="s">
        <v>545</v>
      </c>
      <c r="J63" s="3">
        <v>2016.0</v>
      </c>
      <c r="K63" s="1" t="s">
        <v>35</v>
      </c>
      <c r="L63" s="1" t="s">
        <v>36</v>
      </c>
      <c r="M63" s="1" t="s">
        <v>37</v>
      </c>
      <c r="N63" s="1" t="s">
        <v>38</v>
      </c>
      <c r="O63" s="1" t="s">
        <v>546</v>
      </c>
      <c r="Q63" s="1" t="s">
        <v>547</v>
      </c>
      <c r="R63" s="1" t="s">
        <v>41</v>
      </c>
    </row>
    <row r="64">
      <c r="A64" s="3">
        <v>63.0</v>
      </c>
      <c r="B64" s="5" t="str">
        <f>HYPERLINK("https://ancrewglobal.com/","Ancrew Global Services")</f>
        <v>Ancrew Global Services</v>
      </c>
      <c r="C64" s="6" t="s">
        <v>548</v>
      </c>
      <c r="D64" s="1" t="s">
        <v>549</v>
      </c>
      <c r="E64" s="6" t="s">
        <v>550</v>
      </c>
      <c r="F64" s="1" t="s">
        <v>551</v>
      </c>
      <c r="G64" s="7" t="s">
        <v>552</v>
      </c>
      <c r="H64" s="6" t="s">
        <v>553</v>
      </c>
      <c r="I64" s="7" t="s">
        <v>554</v>
      </c>
      <c r="J64" s="3">
        <v>2022.0</v>
      </c>
      <c r="K64" s="1" t="s">
        <v>35</v>
      </c>
      <c r="L64" s="1" t="s">
        <v>67</v>
      </c>
      <c r="M64" s="1" t="s">
        <v>68</v>
      </c>
      <c r="N64" s="1" t="s">
        <v>38</v>
      </c>
      <c r="O64" s="1" t="s">
        <v>555</v>
      </c>
      <c r="Q64" s="1" t="s">
        <v>556</v>
      </c>
      <c r="R64" s="1" t="s">
        <v>41</v>
      </c>
    </row>
    <row r="65">
      <c r="A65" s="3">
        <v>64.0</v>
      </c>
      <c r="B65" s="5" t="str">
        <f>HYPERLINK("https://www.annexcode.com/","ANNEXCODE")</f>
        <v>ANNEXCODE</v>
      </c>
      <c r="C65" s="6" t="s">
        <v>557</v>
      </c>
      <c r="D65" s="1" t="s">
        <v>558</v>
      </c>
      <c r="E65" s="6" t="s">
        <v>559</v>
      </c>
      <c r="F65" s="1" t="s">
        <v>560</v>
      </c>
      <c r="G65" s="7" t="s">
        <v>561</v>
      </c>
      <c r="J65" s="3">
        <v>2020.0</v>
      </c>
      <c r="K65" s="1" t="s">
        <v>35</v>
      </c>
      <c r="L65" s="1" t="s">
        <v>36</v>
      </c>
      <c r="M65" s="1" t="s">
        <v>37</v>
      </c>
      <c r="N65" s="1" t="s">
        <v>38</v>
      </c>
      <c r="O65" s="1" t="s">
        <v>562</v>
      </c>
      <c r="Q65" s="1" t="s">
        <v>563</v>
      </c>
      <c r="R65" s="1" t="s">
        <v>41</v>
      </c>
    </row>
    <row r="66">
      <c r="A66" s="3">
        <v>65.0</v>
      </c>
      <c r="B66" s="5" t="str">
        <f>HYPERLINK("https://antsglobe.com/","Antsglobe Technologies")</f>
        <v>Antsglobe Technologies</v>
      </c>
      <c r="C66" s="6" t="s">
        <v>564</v>
      </c>
      <c r="D66" s="1" t="s">
        <v>565</v>
      </c>
      <c r="E66" s="6" t="s">
        <v>566</v>
      </c>
      <c r="F66" s="1" t="s">
        <v>567</v>
      </c>
      <c r="G66" s="7" t="s">
        <v>568</v>
      </c>
      <c r="H66" s="6" t="s">
        <v>569</v>
      </c>
      <c r="J66" s="3">
        <v>2012.0</v>
      </c>
      <c r="K66" s="1" t="s">
        <v>35</v>
      </c>
      <c r="L66" s="1" t="s">
        <v>36</v>
      </c>
      <c r="M66" s="1" t="s">
        <v>37</v>
      </c>
      <c r="N66" s="1" t="s">
        <v>38</v>
      </c>
      <c r="O66" s="1" t="s">
        <v>570</v>
      </c>
      <c r="Q66" s="1" t="s">
        <v>571</v>
      </c>
      <c r="R66" s="1" t="s">
        <v>41</v>
      </c>
    </row>
    <row r="67">
      <c r="A67" s="3">
        <v>66.0</v>
      </c>
      <c r="B67" s="5" t="str">
        <f>HYPERLINK("https://anviam.com","Anviam Solutions")</f>
        <v>Anviam Solutions</v>
      </c>
      <c r="C67" s="6" t="s">
        <v>572</v>
      </c>
      <c r="D67" s="1" t="s">
        <v>573</v>
      </c>
      <c r="E67" s="6" t="s">
        <v>574</v>
      </c>
      <c r="F67" s="1" t="s">
        <v>575</v>
      </c>
      <c r="G67" s="7" t="s">
        <v>576</v>
      </c>
      <c r="H67" s="6" t="s">
        <v>577</v>
      </c>
      <c r="I67" s="7" t="s">
        <v>578</v>
      </c>
      <c r="J67" s="3">
        <v>2016.0</v>
      </c>
      <c r="K67" s="1" t="s">
        <v>35</v>
      </c>
      <c r="L67" s="1" t="s">
        <v>67</v>
      </c>
      <c r="M67" s="1" t="s">
        <v>68</v>
      </c>
      <c r="N67" s="1" t="s">
        <v>38</v>
      </c>
      <c r="O67" s="1" t="s">
        <v>579</v>
      </c>
      <c r="Q67" s="1" t="s">
        <v>580</v>
      </c>
      <c r="R67" s="1" t="s">
        <v>41</v>
      </c>
    </row>
    <row r="68">
      <c r="A68" s="3">
        <v>67.0</v>
      </c>
      <c r="B68" s="5" t="str">
        <f>HYPERLINK("https://www.apagen.com/","Apagen Solutions Pvt. Ltd.")</f>
        <v>Apagen Solutions Pvt. Ltd.</v>
      </c>
      <c r="C68" s="6" t="s">
        <v>581</v>
      </c>
      <c r="D68" s="1" t="s">
        <v>582</v>
      </c>
      <c r="E68" s="6" t="s">
        <v>583</v>
      </c>
      <c r="F68" s="1" t="s">
        <v>584</v>
      </c>
      <c r="G68" s="7" t="s">
        <v>585</v>
      </c>
      <c r="H68" s="6" t="s">
        <v>586</v>
      </c>
      <c r="I68" s="7" t="s">
        <v>587</v>
      </c>
      <c r="J68" s="3">
        <v>2012.0</v>
      </c>
      <c r="K68" s="1" t="s">
        <v>35</v>
      </c>
      <c r="L68" s="1" t="s">
        <v>36</v>
      </c>
      <c r="M68" s="1" t="s">
        <v>37</v>
      </c>
      <c r="N68" s="1" t="s">
        <v>38</v>
      </c>
      <c r="O68" s="1" t="s">
        <v>588</v>
      </c>
      <c r="Q68" s="1" t="s">
        <v>589</v>
      </c>
      <c r="R68" s="1" t="s">
        <v>41</v>
      </c>
    </row>
    <row r="69">
      <c r="A69" s="3">
        <v>68.0</v>
      </c>
      <c r="B69" s="5" t="str">
        <f>HYPERLINK("http://www.apparrant.com","Apparrant Technologies")</f>
        <v>Apparrant Technologies</v>
      </c>
      <c r="C69" s="6" t="s">
        <v>590</v>
      </c>
      <c r="D69" s="1" t="s">
        <v>591</v>
      </c>
      <c r="E69" s="6" t="s">
        <v>592</v>
      </c>
      <c r="F69" s="1" t="s">
        <v>593</v>
      </c>
      <c r="G69" s="7" t="s">
        <v>594</v>
      </c>
      <c r="H69" s="6" t="s">
        <v>595</v>
      </c>
      <c r="J69" s="3">
        <v>2016.0</v>
      </c>
      <c r="K69" s="1" t="s">
        <v>35</v>
      </c>
      <c r="L69" s="1" t="s">
        <v>36</v>
      </c>
      <c r="M69" s="1" t="s">
        <v>37</v>
      </c>
      <c r="N69" s="1" t="s">
        <v>38</v>
      </c>
      <c r="O69" s="1" t="s">
        <v>596</v>
      </c>
      <c r="Q69" s="1" t="s">
        <v>597</v>
      </c>
      <c r="R69" s="1" t="s">
        <v>41</v>
      </c>
    </row>
    <row r="70">
      <c r="A70" s="3">
        <v>69.0</v>
      </c>
      <c r="B70" s="5" t="str">
        <f>HYPERLINK("http://appcosoftware.com/","Appco Software")</f>
        <v>Appco Software</v>
      </c>
      <c r="C70" s="6" t="s">
        <v>598</v>
      </c>
      <c r="D70" s="1" t="s">
        <v>599</v>
      </c>
      <c r="E70" s="6" t="s">
        <v>600</v>
      </c>
      <c r="F70" s="1" t="s">
        <v>601</v>
      </c>
      <c r="G70" s="7" t="s">
        <v>602</v>
      </c>
      <c r="J70" s="3">
        <v>2015.0</v>
      </c>
      <c r="K70" s="1" t="s">
        <v>35</v>
      </c>
      <c r="L70" s="1" t="s">
        <v>36</v>
      </c>
      <c r="M70" s="1" t="s">
        <v>37</v>
      </c>
      <c r="N70" s="1" t="s">
        <v>38</v>
      </c>
      <c r="O70" s="1" t="s">
        <v>603</v>
      </c>
      <c r="Q70" s="1" t="s">
        <v>604</v>
      </c>
      <c r="R70" s="1" t="s">
        <v>41</v>
      </c>
    </row>
    <row r="71">
      <c r="A71" s="3">
        <v>70.0</v>
      </c>
      <c r="B71" s="5" t="str">
        <f>HYPERLINK("https://appcrunk.com","Appcrunk Technologies Private Limited")</f>
        <v>Appcrunk Technologies Private Limited</v>
      </c>
      <c r="C71" s="6" t="s">
        <v>605</v>
      </c>
      <c r="D71" s="1" t="s">
        <v>606</v>
      </c>
      <c r="E71" s="6" t="s">
        <v>607</v>
      </c>
      <c r="F71" s="1" t="s">
        <v>608</v>
      </c>
      <c r="G71" s="7" t="s">
        <v>609</v>
      </c>
      <c r="J71" s="3">
        <v>2018.0</v>
      </c>
      <c r="K71" s="1" t="s">
        <v>35</v>
      </c>
      <c r="L71" s="1" t="s">
        <v>36</v>
      </c>
      <c r="M71" s="1" t="s">
        <v>37</v>
      </c>
      <c r="N71" s="1" t="s">
        <v>38</v>
      </c>
      <c r="O71" s="1" t="s">
        <v>610</v>
      </c>
      <c r="Q71" s="1" t="s">
        <v>611</v>
      </c>
      <c r="R71" s="1" t="s">
        <v>41</v>
      </c>
    </row>
    <row r="72">
      <c r="A72" s="3">
        <v>71.0</v>
      </c>
      <c r="B72" s="5" t="str">
        <f>HYPERLINK("http://appface.in/","Appface Technologies Pvt Ltd")</f>
        <v>Appface Technologies Pvt Ltd</v>
      </c>
      <c r="C72" s="6" t="s">
        <v>612</v>
      </c>
      <c r="D72" s="1" t="s">
        <v>613</v>
      </c>
      <c r="E72" s="6" t="s">
        <v>614</v>
      </c>
      <c r="F72" s="1" t="s">
        <v>615</v>
      </c>
      <c r="G72" s="7" t="s">
        <v>616</v>
      </c>
      <c r="H72" s="6" t="s">
        <v>617</v>
      </c>
      <c r="J72" s="3">
        <v>2010.0</v>
      </c>
      <c r="K72" s="1" t="s">
        <v>35</v>
      </c>
      <c r="L72" s="1" t="s">
        <v>67</v>
      </c>
      <c r="M72" s="1" t="s">
        <v>68</v>
      </c>
      <c r="N72" s="1" t="s">
        <v>38</v>
      </c>
      <c r="O72" s="1" t="s">
        <v>618</v>
      </c>
      <c r="Q72" s="1" t="s">
        <v>619</v>
      </c>
      <c r="R72" s="1" t="s">
        <v>41</v>
      </c>
    </row>
    <row r="73">
      <c r="A73" s="3">
        <v>72.0</v>
      </c>
      <c r="B73" s="5" t="str">
        <f>HYPERLINK("https://appfinz.com","Appfinz Technologies")</f>
        <v>Appfinz Technologies</v>
      </c>
      <c r="C73" s="6" t="s">
        <v>620</v>
      </c>
      <c r="D73" s="1" t="s">
        <v>621</v>
      </c>
      <c r="E73" s="6" t="s">
        <v>622</v>
      </c>
      <c r="F73" s="1" t="s">
        <v>623</v>
      </c>
      <c r="G73" s="7" t="s">
        <v>624</v>
      </c>
      <c r="H73" s="6" t="s">
        <v>625</v>
      </c>
      <c r="I73" s="7" t="s">
        <v>626</v>
      </c>
      <c r="J73" s="3">
        <v>2012.0</v>
      </c>
      <c r="K73" s="1" t="s">
        <v>35</v>
      </c>
      <c r="L73" s="1" t="s">
        <v>36</v>
      </c>
      <c r="M73" s="1" t="s">
        <v>37</v>
      </c>
      <c r="N73" s="1" t="s">
        <v>38</v>
      </c>
      <c r="O73" s="1" t="s">
        <v>627</v>
      </c>
      <c r="Q73" s="1" t="s">
        <v>628</v>
      </c>
      <c r="R73" s="1" t="s">
        <v>41</v>
      </c>
    </row>
    <row r="74">
      <c r="A74" s="3">
        <v>73.0</v>
      </c>
      <c r="B74" s="5" t="str">
        <f>HYPERLINK("https://www.appicsoftwares.com/","Appic Softwares")</f>
        <v>Appic Softwares</v>
      </c>
      <c r="C74" s="6" t="s">
        <v>629</v>
      </c>
      <c r="D74" s="1" t="s">
        <v>630</v>
      </c>
      <c r="E74" s="6" t="s">
        <v>631</v>
      </c>
      <c r="F74" s="1" t="s">
        <v>632</v>
      </c>
      <c r="G74" s="7" t="s">
        <v>633</v>
      </c>
      <c r="H74" s="6" t="s">
        <v>634</v>
      </c>
      <c r="I74" s="7" t="s">
        <v>635</v>
      </c>
      <c r="J74" s="3">
        <v>2018.0</v>
      </c>
      <c r="K74" s="1" t="s">
        <v>35</v>
      </c>
      <c r="L74" s="1" t="s">
        <v>36</v>
      </c>
      <c r="M74" s="1" t="s">
        <v>37</v>
      </c>
      <c r="N74" s="1" t="s">
        <v>38</v>
      </c>
      <c r="O74" s="1" t="s">
        <v>636</v>
      </c>
      <c r="Q74" s="1" t="s">
        <v>637</v>
      </c>
      <c r="R74" s="1" t="s">
        <v>41</v>
      </c>
    </row>
    <row r="75">
      <c r="A75" s="3">
        <v>74.0</v>
      </c>
      <c r="B75" s="5" t="str">
        <f>HYPERLINK("https://appilytech.com","APPiLY Technologies")</f>
        <v>APPiLY Technologies</v>
      </c>
      <c r="C75" s="6" t="s">
        <v>638</v>
      </c>
      <c r="D75" s="1" t="s">
        <v>639</v>
      </c>
      <c r="E75" s="6" t="s">
        <v>640</v>
      </c>
      <c r="F75" s="1" t="s">
        <v>641</v>
      </c>
      <c r="G75" s="7" t="s">
        <v>642</v>
      </c>
      <c r="J75" s="3">
        <v>2014.0</v>
      </c>
      <c r="K75" s="1" t="s">
        <v>35</v>
      </c>
      <c r="L75" s="1" t="s">
        <v>36</v>
      </c>
      <c r="M75" s="1" t="s">
        <v>37</v>
      </c>
      <c r="N75" s="1" t="s">
        <v>38</v>
      </c>
      <c r="O75" s="1" t="s">
        <v>643</v>
      </c>
      <c r="Q75" s="1" t="s">
        <v>644</v>
      </c>
      <c r="R75" s="1" t="s">
        <v>41</v>
      </c>
    </row>
    <row r="76">
      <c r="A76" s="3">
        <v>75.0</v>
      </c>
      <c r="B76" s="5" t="str">
        <f>HYPERLINK("https://www.appindia.co.in/","App India")</f>
        <v>App India</v>
      </c>
      <c r="C76" s="6" t="s">
        <v>645</v>
      </c>
      <c r="D76" s="1" t="s">
        <v>646</v>
      </c>
      <c r="E76" s="6" t="s">
        <v>647</v>
      </c>
      <c r="F76" s="1" t="s">
        <v>648</v>
      </c>
      <c r="G76" s="7" t="s">
        <v>649</v>
      </c>
      <c r="H76" s="6" t="s">
        <v>650</v>
      </c>
      <c r="I76" s="7" t="s">
        <v>651</v>
      </c>
      <c r="J76" s="3">
        <v>2014.0</v>
      </c>
      <c r="K76" s="1" t="s">
        <v>35</v>
      </c>
      <c r="L76" s="1" t="s">
        <v>67</v>
      </c>
      <c r="M76" s="1" t="s">
        <v>68</v>
      </c>
      <c r="N76" s="1" t="s">
        <v>38</v>
      </c>
      <c r="O76" s="1" t="s">
        <v>652</v>
      </c>
      <c r="Q76" s="1" t="s">
        <v>653</v>
      </c>
      <c r="R76" s="1" t="s">
        <v>41</v>
      </c>
    </row>
    <row r="77">
      <c r="A77" s="3">
        <v>76.0</v>
      </c>
      <c r="B77" s="5" t="str">
        <f>HYPERLINK("https://appscomp.com/","Appscomp Widgets Pvt Ltd.,")</f>
        <v>Appscomp Widgets Pvt Ltd.,</v>
      </c>
      <c r="C77" s="6" t="s">
        <v>654</v>
      </c>
      <c r="D77" s="1" t="s">
        <v>655</v>
      </c>
      <c r="E77" s="6" t="s">
        <v>656</v>
      </c>
      <c r="F77" s="1" t="s">
        <v>657</v>
      </c>
      <c r="G77" s="7" t="s">
        <v>658</v>
      </c>
      <c r="H77" s="6" t="s">
        <v>659</v>
      </c>
      <c r="J77" s="3">
        <v>2016.0</v>
      </c>
      <c r="K77" s="1" t="s">
        <v>35</v>
      </c>
      <c r="L77" s="1" t="s">
        <v>36</v>
      </c>
      <c r="M77" s="1" t="s">
        <v>37</v>
      </c>
      <c r="N77" s="1" t="s">
        <v>38</v>
      </c>
      <c r="O77" s="1" t="s">
        <v>660</v>
      </c>
      <c r="Q77" s="1" t="s">
        <v>661</v>
      </c>
      <c r="R77" s="1" t="s">
        <v>41</v>
      </c>
    </row>
    <row r="78">
      <c r="A78" s="3">
        <v>77.0</v>
      </c>
      <c r="B78" s="5" t="str">
        <f>HYPERLINK("http://www.appsimity.com","Appsimity Solutions")</f>
        <v>Appsimity Solutions</v>
      </c>
      <c r="C78" s="6" t="s">
        <v>662</v>
      </c>
      <c r="D78" s="1" t="s">
        <v>663</v>
      </c>
      <c r="E78" s="6" t="s">
        <v>664</v>
      </c>
      <c r="F78" s="1" t="s">
        <v>665</v>
      </c>
      <c r="G78" s="7" t="s">
        <v>666</v>
      </c>
      <c r="H78" s="6" t="s">
        <v>667</v>
      </c>
      <c r="J78" s="3">
        <v>2012.0</v>
      </c>
      <c r="K78" s="1" t="s">
        <v>35</v>
      </c>
      <c r="L78" s="1" t="s">
        <v>36</v>
      </c>
      <c r="M78" s="1" t="s">
        <v>37</v>
      </c>
      <c r="N78" s="1" t="s">
        <v>38</v>
      </c>
      <c r="O78" s="1" t="s">
        <v>668</v>
      </c>
      <c r="Q78" s="1" t="s">
        <v>669</v>
      </c>
      <c r="R78" s="1" t="s">
        <v>41</v>
      </c>
    </row>
    <row r="79">
      <c r="A79" s="3">
        <v>78.0</v>
      </c>
      <c r="B79" s="5" t="str">
        <f>HYPERLINK("https://www.appsinvo.com/","Appsinvo Pvt. Ltd.")</f>
        <v>Appsinvo Pvt. Ltd.</v>
      </c>
      <c r="C79" s="6" t="s">
        <v>670</v>
      </c>
      <c r="D79" s="1" t="s">
        <v>671</v>
      </c>
      <c r="E79" s="6" t="s">
        <v>672</v>
      </c>
      <c r="F79" s="1" t="s">
        <v>673</v>
      </c>
      <c r="G79" s="7" t="s">
        <v>674</v>
      </c>
      <c r="J79" s="3">
        <v>2014.0</v>
      </c>
      <c r="K79" s="1" t="s">
        <v>35</v>
      </c>
      <c r="L79" s="1" t="s">
        <v>67</v>
      </c>
      <c r="M79" s="1" t="s">
        <v>68</v>
      </c>
      <c r="N79" s="1" t="s">
        <v>38</v>
      </c>
      <c r="O79" s="1" t="s">
        <v>675</v>
      </c>
      <c r="Q79" s="1" t="s">
        <v>676</v>
      </c>
      <c r="R79" s="1" t="s">
        <v>41</v>
      </c>
    </row>
    <row r="80">
      <c r="A80" s="3">
        <v>79.0</v>
      </c>
      <c r="B80" s="5" t="str">
        <f>HYPERLINK("https://www.appstean.com/","Appstean")</f>
        <v>Appstean</v>
      </c>
      <c r="C80" s="6" t="s">
        <v>677</v>
      </c>
      <c r="D80" s="1" t="s">
        <v>678</v>
      </c>
      <c r="E80" s="6" t="s">
        <v>679</v>
      </c>
      <c r="F80" s="1" t="s">
        <v>680</v>
      </c>
      <c r="G80" s="7" t="s">
        <v>681</v>
      </c>
      <c r="H80" s="6" t="s">
        <v>682</v>
      </c>
      <c r="I80" s="7" t="s">
        <v>683</v>
      </c>
      <c r="J80" s="3">
        <v>2012.0</v>
      </c>
      <c r="K80" s="1" t="s">
        <v>35</v>
      </c>
      <c r="L80" s="1" t="s">
        <v>36</v>
      </c>
      <c r="M80" s="1" t="s">
        <v>37</v>
      </c>
      <c r="N80" s="1" t="s">
        <v>38</v>
      </c>
      <c r="O80" s="1" t="s">
        <v>684</v>
      </c>
      <c r="Q80" s="1" t="s">
        <v>685</v>
      </c>
      <c r="R80" s="1" t="s">
        <v>41</v>
      </c>
    </row>
    <row r="81">
      <c r="A81" s="3">
        <v>80.0</v>
      </c>
      <c r="B81" s="5" t="str">
        <f>HYPERLINK("https://www.appsvolt.com","Appsvolt")</f>
        <v>Appsvolt</v>
      </c>
      <c r="C81" s="6" t="s">
        <v>686</v>
      </c>
      <c r="D81" s="1" t="s">
        <v>687</v>
      </c>
      <c r="E81" s="6" t="s">
        <v>688</v>
      </c>
      <c r="F81" s="1" t="s">
        <v>689</v>
      </c>
      <c r="G81" s="7" t="s">
        <v>690</v>
      </c>
      <c r="H81" s="6" t="s">
        <v>691</v>
      </c>
      <c r="I81" s="7" t="s">
        <v>692</v>
      </c>
      <c r="J81" s="3">
        <v>2012.0</v>
      </c>
      <c r="K81" s="1" t="s">
        <v>35</v>
      </c>
      <c r="L81" s="1" t="s">
        <v>67</v>
      </c>
      <c r="M81" s="1" t="s">
        <v>68</v>
      </c>
      <c r="N81" s="1" t="s">
        <v>38</v>
      </c>
      <c r="O81" s="1" t="s">
        <v>693</v>
      </c>
      <c r="Q81" s="1" t="s">
        <v>694</v>
      </c>
      <c r="R81" s="1" t="s">
        <v>41</v>
      </c>
    </row>
    <row r="82">
      <c r="A82" s="3">
        <v>81.0</v>
      </c>
      <c r="B82" s="5" t="str">
        <f>HYPERLINK("https://www.appther.com/","Appther Technologies")</f>
        <v>Appther Technologies</v>
      </c>
      <c r="C82" s="6" t="s">
        <v>695</v>
      </c>
      <c r="D82" s="1" t="s">
        <v>696</v>
      </c>
      <c r="E82" s="6" t="s">
        <v>697</v>
      </c>
      <c r="F82" s="1" t="s">
        <v>698</v>
      </c>
      <c r="G82" s="7" t="s">
        <v>699</v>
      </c>
      <c r="I82" s="7" t="s">
        <v>700</v>
      </c>
      <c r="J82" s="3">
        <v>2016.0</v>
      </c>
      <c r="K82" s="1" t="s">
        <v>35</v>
      </c>
      <c r="L82" s="1" t="s">
        <v>95</v>
      </c>
      <c r="M82" s="1" t="s">
        <v>96</v>
      </c>
      <c r="N82" s="1" t="s">
        <v>97</v>
      </c>
      <c r="O82" s="1" t="s">
        <v>701</v>
      </c>
      <c r="Q82" s="1" t="s">
        <v>702</v>
      </c>
      <c r="R82" s="1" t="s">
        <v>41</v>
      </c>
    </row>
    <row r="83">
      <c r="A83" s="3">
        <v>82.0</v>
      </c>
      <c r="B83" s="5" t="str">
        <f>HYPERLINK("https://apptians.com/","Apptians")</f>
        <v>Apptians</v>
      </c>
      <c r="C83" s="6" t="s">
        <v>703</v>
      </c>
      <c r="D83" s="1" t="s">
        <v>704</v>
      </c>
      <c r="E83" s="6" t="s">
        <v>705</v>
      </c>
      <c r="F83" s="1" t="s">
        <v>706</v>
      </c>
      <c r="G83" s="7" t="s">
        <v>707</v>
      </c>
      <c r="H83" s="6" t="s">
        <v>708</v>
      </c>
      <c r="J83" s="3">
        <v>2020.0</v>
      </c>
      <c r="K83" s="1" t="s">
        <v>35</v>
      </c>
      <c r="L83" s="1" t="s">
        <v>36</v>
      </c>
      <c r="M83" s="1" t="s">
        <v>37</v>
      </c>
      <c r="N83" s="1" t="s">
        <v>38</v>
      </c>
      <c r="O83" s="1" t="s">
        <v>709</v>
      </c>
      <c r="Q83" s="1" t="s">
        <v>710</v>
      </c>
      <c r="R83" s="1" t="s">
        <v>41</v>
      </c>
    </row>
    <row r="84">
      <c r="A84" s="3">
        <v>83.0</v>
      </c>
      <c r="B84" s="5" t="str">
        <f>HYPERLINK("https://apptware.com/","Apptware")</f>
        <v>Apptware</v>
      </c>
      <c r="C84" s="6" t="s">
        <v>711</v>
      </c>
      <c r="D84" s="1" t="s">
        <v>712</v>
      </c>
      <c r="E84" s="6" t="s">
        <v>713</v>
      </c>
      <c r="F84" s="1" t="s">
        <v>714</v>
      </c>
      <c r="G84" s="7" t="s">
        <v>715</v>
      </c>
      <c r="H84" s="6" t="s">
        <v>716</v>
      </c>
      <c r="I84" s="7" t="s">
        <v>717</v>
      </c>
      <c r="J84" s="3">
        <v>2019.0</v>
      </c>
      <c r="K84" s="1" t="s">
        <v>35</v>
      </c>
      <c r="L84" s="1" t="s">
        <v>67</v>
      </c>
      <c r="M84" s="1" t="s">
        <v>68</v>
      </c>
      <c r="N84" s="1" t="s">
        <v>38</v>
      </c>
      <c r="O84" s="1" t="s">
        <v>718</v>
      </c>
      <c r="Q84" s="1" t="s">
        <v>719</v>
      </c>
      <c r="R84" s="1" t="s">
        <v>41</v>
      </c>
    </row>
    <row r="85">
      <c r="A85" s="3">
        <v>84.0</v>
      </c>
      <c r="B85" s="5" t="str">
        <f>HYPERLINK("https://www.apstia.com/","APSTIA PRIVATE LIMITED")</f>
        <v>APSTIA PRIVATE LIMITED</v>
      </c>
      <c r="C85" s="6" t="s">
        <v>720</v>
      </c>
      <c r="D85" s="1" t="s">
        <v>721</v>
      </c>
      <c r="E85" s="6" t="s">
        <v>722</v>
      </c>
      <c r="F85" s="1" t="s">
        <v>723</v>
      </c>
      <c r="G85" s="7" t="s">
        <v>724</v>
      </c>
      <c r="J85" s="3">
        <v>2020.0</v>
      </c>
      <c r="K85" s="1" t="s">
        <v>35</v>
      </c>
      <c r="L85" s="1" t="s">
        <v>36</v>
      </c>
      <c r="M85" s="1" t="s">
        <v>37</v>
      </c>
      <c r="N85" s="1" t="s">
        <v>38</v>
      </c>
      <c r="O85" s="1" t="s">
        <v>725</v>
      </c>
      <c r="Q85" s="1" t="s">
        <v>726</v>
      </c>
      <c r="R85" s="1" t="s">
        <v>41</v>
      </c>
    </row>
    <row r="86">
      <c r="A86" s="3">
        <v>85.0</v>
      </c>
      <c r="B86" s="5" t="str">
        <f>HYPERLINK("https://aquadsoft.com/","Aquadsoft")</f>
        <v>Aquadsoft</v>
      </c>
      <c r="C86" s="6" t="s">
        <v>727</v>
      </c>
      <c r="D86" s="1" t="s">
        <v>728</v>
      </c>
      <c r="E86" s="6" t="s">
        <v>729</v>
      </c>
      <c r="F86" s="1" t="s">
        <v>730</v>
      </c>
      <c r="G86" s="7" t="s">
        <v>731</v>
      </c>
      <c r="H86" s="6" t="s">
        <v>732</v>
      </c>
      <c r="J86" s="3">
        <v>2015.0</v>
      </c>
      <c r="K86" s="1" t="s">
        <v>35</v>
      </c>
      <c r="L86" s="1" t="s">
        <v>36</v>
      </c>
      <c r="M86" s="1" t="s">
        <v>37</v>
      </c>
      <c r="N86" s="1" t="s">
        <v>38</v>
      </c>
      <c r="O86" s="1" t="s">
        <v>733</v>
      </c>
      <c r="Q86" s="1" t="s">
        <v>734</v>
      </c>
      <c r="R86" s="1" t="s">
        <v>41</v>
      </c>
    </row>
    <row r="87">
      <c r="A87" s="3">
        <v>86.0</v>
      </c>
      <c r="B87" s="5" t="str">
        <f>HYPERLINK("https://www.ardtechs.com/","ARD Technologies")</f>
        <v>ARD Technologies</v>
      </c>
      <c r="C87" s="6" t="s">
        <v>735</v>
      </c>
      <c r="D87" s="1" t="s">
        <v>736</v>
      </c>
      <c r="E87" s="6" t="s">
        <v>737</v>
      </c>
      <c r="F87" s="1" t="s">
        <v>738</v>
      </c>
      <c r="G87" s="7" t="s">
        <v>739</v>
      </c>
      <c r="J87" s="3">
        <v>2016.0</v>
      </c>
      <c r="K87" s="1" t="s">
        <v>35</v>
      </c>
      <c r="L87" s="1" t="s">
        <v>36</v>
      </c>
      <c r="M87" s="1" t="s">
        <v>37</v>
      </c>
      <c r="N87" s="1" t="s">
        <v>38</v>
      </c>
      <c r="O87" s="1" t="s">
        <v>740</v>
      </c>
      <c r="Q87" s="1" t="s">
        <v>741</v>
      </c>
      <c r="R87" s="1" t="s">
        <v>41</v>
      </c>
    </row>
    <row r="88">
      <c r="A88" s="3">
        <v>87.0</v>
      </c>
      <c r="B88" s="5" t="str">
        <f>HYPERLINK("https://argenius.in","Argenius")</f>
        <v>Argenius</v>
      </c>
      <c r="C88" s="6" t="s">
        <v>742</v>
      </c>
      <c r="D88" s="1" t="s">
        <v>743</v>
      </c>
      <c r="E88" s="6" t="s">
        <v>744</v>
      </c>
      <c r="F88" s="1" t="s">
        <v>745</v>
      </c>
      <c r="G88" s="7" t="s">
        <v>746</v>
      </c>
      <c r="H88" s="6" t="s">
        <v>747</v>
      </c>
      <c r="I88" s="7" t="s">
        <v>748</v>
      </c>
      <c r="J88" s="3">
        <v>2021.0</v>
      </c>
      <c r="K88" s="1" t="s">
        <v>35</v>
      </c>
      <c r="L88" s="1" t="s">
        <v>36</v>
      </c>
      <c r="M88" s="1" t="s">
        <v>37</v>
      </c>
      <c r="N88" s="1" t="s">
        <v>38</v>
      </c>
      <c r="O88" s="1" t="s">
        <v>749</v>
      </c>
      <c r="Q88" s="1" t="s">
        <v>750</v>
      </c>
      <c r="R88" s="1" t="s">
        <v>41</v>
      </c>
    </row>
    <row r="89">
      <c r="A89" s="3">
        <v>88.0</v>
      </c>
      <c r="B89" s="5" t="str">
        <f>HYPERLINK("https://arhamwebworks.com/","Arham Web Works")</f>
        <v>Arham Web Works</v>
      </c>
      <c r="C89" s="6" t="s">
        <v>751</v>
      </c>
      <c r="D89" s="1" t="s">
        <v>752</v>
      </c>
      <c r="E89" s="6" t="s">
        <v>753</v>
      </c>
      <c r="F89" s="1" t="s">
        <v>754</v>
      </c>
      <c r="G89" s="7" t="s">
        <v>755</v>
      </c>
      <c r="J89" s="3">
        <v>2012.0</v>
      </c>
      <c r="K89" s="1" t="s">
        <v>35</v>
      </c>
      <c r="L89" s="1" t="s">
        <v>36</v>
      </c>
      <c r="M89" s="1" t="s">
        <v>37</v>
      </c>
      <c r="N89" s="1" t="s">
        <v>38</v>
      </c>
      <c r="O89" s="1" t="s">
        <v>756</v>
      </c>
      <c r="Q89" s="1" t="s">
        <v>757</v>
      </c>
      <c r="R89" s="1" t="s">
        <v>41</v>
      </c>
    </row>
    <row r="90">
      <c r="A90" s="3">
        <v>89.0</v>
      </c>
      <c r="B90" s="5" t="str">
        <f>HYPERLINK("https://aripratech.com/","Aripra Infotech")</f>
        <v>Aripra Infotech</v>
      </c>
      <c r="C90" s="6" t="s">
        <v>758</v>
      </c>
      <c r="D90" s="1" t="s">
        <v>759</v>
      </c>
      <c r="E90" s="6" t="s">
        <v>760</v>
      </c>
      <c r="F90" s="1" t="s">
        <v>761</v>
      </c>
      <c r="G90" s="7" t="s">
        <v>762</v>
      </c>
      <c r="H90" s="6" t="s">
        <v>763</v>
      </c>
      <c r="I90" s="7" t="s">
        <v>764</v>
      </c>
      <c r="J90" s="3">
        <v>2011.0</v>
      </c>
      <c r="K90" s="1" t="s">
        <v>35</v>
      </c>
      <c r="L90" s="1" t="s">
        <v>36</v>
      </c>
      <c r="M90" s="1" t="s">
        <v>37</v>
      </c>
      <c r="N90" s="1" t="s">
        <v>38</v>
      </c>
      <c r="O90" s="1" t="s">
        <v>765</v>
      </c>
      <c r="Q90" s="1" t="s">
        <v>766</v>
      </c>
      <c r="R90" s="1" t="s">
        <v>41</v>
      </c>
    </row>
    <row r="91">
      <c r="A91" s="3">
        <v>90.0</v>
      </c>
      <c r="B91" s="5" t="str">
        <f>HYPERLINK("https://www.arkasoftwares.com/services/mobile-app-development-company","ARKA Softwares")</f>
        <v>ARKA Softwares</v>
      </c>
      <c r="C91" s="6" t="s">
        <v>767</v>
      </c>
      <c r="D91" s="1" t="s">
        <v>768</v>
      </c>
      <c r="E91" s="6" t="s">
        <v>769</v>
      </c>
      <c r="F91" s="1" t="s">
        <v>770</v>
      </c>
      <c r="G91" s="7" t="s">
        <v>771</v>
      </c>
      <c r="H91" s="6" t="s">
        <v>772</v>
      </c>
      <c r="I91" s="7" t="s">
        <v>773</v>
      </c>
      <c r="J91" s="3">
        <v>2010.0</v>
      </c>
      <c r="K91" s="1" t="s">
        <v>35</v>
      </c>
      <c r="L91" s="1" t="s">
        <v>67</v>
      </c>
      <c r="M91" s="1" t="s">
        <v>68</v>
      </c>
      <c r="N91" s="1" t="s">
        <v>38</v>
      </c>
      <c r="O91" s="1" t="s">
        <v>774</v>
      </c>
      <c r="Q91" s="1" t="s">
        <v>775</v>
      </c>
      <c r="R91" s="1" t="s">
        <v>41</v>
      </c>
    </row>
    <row r="92">
      <c r="A92" s="3">
        <v>91.0</v>
      </c>
      <c r="B92" s="5" t="str">
        <f>HYPERLINK("https://www.arkatiss.com/","Arkatiss")</f>
        <v>Arkatiss</v>
      </c>
      <c r="C92" s="6" t="s">
        <v>776</v>
      </c>
      <c r="D92" s="1" t="s">
        <v>777</v>
      </c>
      <c r="E92" s="6" t="s">
        <v>778</v>
      </c>
      <c r="F92" s="1" t="s">
        <v>779</v>
      </c>
      <c r="G92" s="7" t="s">
        <v>780</v>
      </c>
      <c r="J92" s="3">
        <v>2019.0</v>
      </c>
      <c r="K92" s="1" t="s">
        <v>35</v>
      </c>
      <c r="L92" s="1" t="s">
        <v>67</v>
      </c>
      <c r="M92" s="1" t="s">
        <v>68</v>
      </c>
      <c r="N92" s="1" t="s">
        <v>38</v>
      </c>
      <c r="O92" s="1" t="s">
        <v>781</v>
      </c>
      <c r="Q92" s="1" t="s">
        <v>782</v>
      </c>
      <c r="R92" s="1" t="s">
        <v>41</v>
      </c>
    </row>
    <row r="93">
      <c r="A93" s="3">
        <v>92.0</v>
      </c>
      <c r="B93" s="5" t="str">
        <f>HYPERLINK("https://www.arohatech.com","Arohatech")</f>
        <v>Arohatech</v>
      </c>
      <c r="C93" s="6" t="s">
        <v>783</v>
      </c>
      <c r="D93" s="1" t="s">
        <v>784</v>
      </c>
      <c r="E93" s="6" t="s">
        <v>785</v>
      </c>
      <c r="F93" s="1" t="s">
        <v>786</v>
      </c>
      <c r="G93" s="7" t="s">
        <v>787</v>
      </c>
      <c r="H93" s="6" t="s">
        <v>788</v>
      </c>
      <c r="J93" s="3">
        <v>2009.0</v>
      </c>
      <c r="K93" s="1" t="s">
        <v>35</v>
      </c>
      <c r="L93" s="1" t="s">
        <v>67</v>
      </c>
      <c r="M93" s="1" t="s">
        <v>68</v>
      </c>
      <c r="N93" s="1" t="s">
        <v>38</v>
      </c>
      <c r="O93" s="1" t="s">
        <v>789</v>
      </c>
      <c r="Q93" s="1" t="s">
        <v>790</v>
      </c>
      <c r="R93" s="1" t="s">
        <v>41</v>
      </c>
    </row>
    <row r="94">
      <c r="A94" s="3">
        <v>93.0</v>
      </c>
      <c r="B94" s="5" t="str">
        <f>HYPERLINK("http://www.arokee.com","Arokee Online Solutions Pvt. Ltd")</f>
        <v>Arokee Online Solutions Pvt. Ltd</v>
      </c>
      <c r="C94" s="6" t="s">
        <v>791</v>
      </c>
      <c r="D94" s="1" t="s">
        <v>792</v>
      </c>
      <c r="E94" s="6" t="s">
        <v>793</v>
      </c>
      <c r="F94" s="1" t="s">
        <v>794</v>
      </c>
      <c r="G94" s="7" t="s">
        <v>795</v>
      </c>
      <c r="J94" s="3">
        <v>2016.0</v>
      </c>
      <c r="K94" s="1" t="s">
        <v>35</v>
      </c>
      <c r="L94" s="1" t="s">
        <v>36</v>
      </c>
      <c r="M94" s="1" t="s">
        <v>37</v>
      </c>
      <c r="N94" s="1" t="s">
        <v>38</v>
      </c>
      <c r="O94" s="1" t="s">
        <v>796</v>
      </c>
      <c r="Q94" s="1" t="s">
        <v>797</v>
      </c>
      <c r="R94" s="1" t="s">
        <v>41</v>
      </c>
    </row>
    <row r="95">
      <c r="A95" s="3">
        <v>94.0</v>
      </c>
      <c r="B95" s="5" t="str">
        <f>HYPERLINK("http://www.aronwebsolutions.com","Aron Web Solutions")</f>
        <v>Aron Web Solutions</v>
      </c>
      <c r="C95" s="6" t="s">
        <v>798</v>
      </c>
      <c r="D95" s="1" t="s">
        <v>799</v>
      </c>
      <c r="E95" s="6" t="s">
        <v>800</v>
      </c>
      <c r="F95" s="1" t="s">
        <v>801</v>
      </c>
      <c r="G95" s="7" t="s">
        <v>802</v>
      </c>
      <c r="J95" s="3">
        <v>2012.0</v>
      </c>
      <c r="K95" s="1" t="s">
        <v>35</v>
      </c>
      <c r="L95" s="1" t="s">
        <v>67</v>
      </c>
      <c r="M95" s="1" t="s">
        <v>68</v>
      </c>
      <c r="N95" s="1" t="s">
        <v>38</v>
      </c>
      <c r="O95" s="1" t="s">
        <v>803</v>
      </c>
      <c r="Q95" s="1" t="s">
        <v>804</v>
      </c>
      <c r="R95" s="1" t="s">
        <v>41</v>
      </c>
    </row>
    <row r="96">
      <c r="A96" s="3">
        <v>95.0</v>
      </c>
      <c r="B96" s="5" t="str">
        <f>HYPERLINK("https://arramton.com/","Arramton Infotech Pvt Ltd")</f>
        <v>Arramton Infotech Pvt Ltd</v>
      </c>
      <c r="C96" s="6" t="s">
        <v>805</v>
      </c>
      <c r="D96" s="1" t="s">
        <v>806</v>
      </c>
      <c r="E96" s="6" t="s">
        <v>807</v>
      </c>
      <c r="F96" s="1" t="s">
        <v>808</v>
      </c>
      <c r="G96" s="7" t="s">
        <v>809</v>
      </c>
      <c r="H96" s="6" t="s">
        <v>810</v>
      </c>
      <c r="I96" s="7" t="s">
        <v>811</v>
      </c>
      <c r="J96" s="3">
        <v>2019.0</v>
      </c>
      <c r="K96" s="1" t="s">
        <v>35</v>
      </c>
      <c r="L96" s="1" t="s">
        <v>36</v>
      </c>
      <c r="M96" s="1" t="s">
        <v>37</v>
      </c>
      <c r="N96" s="1" t="s">
        <v>38</v>
      </c>
      <c r="O96" s="1" t="s">
        <v>812</v>
      </c>
      <c r="Q96" s="1" t="s">
        <v>813</v>
      </c>
      <c r="R96" s="1" t="s">
        <v>41</v>
      </c>
    </row>
    <row r="97">
      <c r="A97" s="3">
        <v>96.0</v>
      </c>
      <c r="B97" s="5" t="str">
        <f>HYPERLINK("https://arthtechnology.com","Arth Technology")</f>
        <v>Arth Technology</v>
      </c>
      <c r="C97" s="6" t="s">
        <v>814</v>
      </c>
      <c r="D97" s="1" t="s">
        <v>815</v>
      </c>
      <c r="E97" s="6" t="s">
        <v>816</v>
      </c>
      <c r="F97" s="1" t="s">
        <v>817</v>
      </c>
      <c r="G97" s="7" t="s">
        <v>818</v>
      </c>
      <c r="H97" s="6" t="s">
        <v>819</v>
      </c>
      <c r="J97" s="3">
        <v>2014.0</v>
      </c>
      <c r="K97" s="1" t="s">
        <v>35</v>
      </c>
      <c r="L97" s="1" t="s">
        <v>36</v>
      </c>
      <c r="M97" s="1" t="s">
        <v>37</v>
      </c>
      <c r="N97" s="1" t="s">
        <v>38</v>
      </c>
      <c r="O97" s="1" t="s">
        <v>820</v>
      </c>
      <c r="Q97" s="1" t="s">
        <v>821</v>
      </c>
      <c r="R97" s="1" t="s">
        <v>41</v>
      </c>
    </row>
    <row r="98">
      <c r="A98" s="3">
        <v>97.0</v>
      </c>
      <c r="B98" s="5" t="str">
        <f>HYPERLINK("https://www.artifex-online.com/","Artifex-Online")</f>
        <v>Artifex-Online</v>
      </c>
      <c r="C98" s="6" t="s">
        <v>822</v>
      </c>
      <c r="D98" s="1" t="s">
        <v>823</v>
      </c>
      <c r="E98" s="6" t="s">
        <v>824</v>
      </c>
      <c r="F98" s="1" t="s">
        <v>825</v>
      </c>
      <c r="G98" s="7" t="s">
        <v>826</v>
      </c>
      <c r="J98" s="3">
        <v>2012.0</v>
      </c>
      <c r="K98" s="1" t="s">
        <v>35</v>
      </c>
      <c r="L98" s="1" t="s">
        <v>36</v>
      </c>
      <c r="M98" s="1" t="s">
        <v>37</v>
      </c>
      <c r="N98" s="1" t="s">
        <v>38</v>
      </c>
      <c r="O98" s="1" t="s">
        <v>827</v>
      </c>
      <c r="Q98" s="1" t="s">
        <v>828</v>
      </c>
      <c r="R98" s="1" t="s">
        <v>41</v>
      </c>
    </row>
    <row r="99">
      <c r="A99" s="3">
        <v>98.0</v>
      </c>
      <c r="B99" s="5" t="str">
        <f>HYPERLINK("https://www.artoonsolutions.com","Artoon Solutions")</f>
        <v>Artoon Solutions</v>
      </c>
      <c r="C99" s="6" t="s">
        <v>829</v>
      </c>
      <c r="D99" s="1" t="s">
        <v>830</v>
      </c>
      <c r="E99" s="6" t="s">
        <v>831</v>
      </c>
      <c r="F99" s="1" t="s">
        <v>832</v>
      </c>
      <c r="G99" s="7" t="s">
        <v>833</v>
      </c>
      <c r="H99" s="6" t="s">
        <v>834</v>
      </c>
      <c r="J99" s="3">
        <v>2009.0</v>
      </c>
      <c r="K99" s="1" t="s">
        <v>35</v>
      </c>
      <c r="L99" s="1" t="s">
        <v>67</v>
      </c>
      <c r="M99" s="1" t="s">
        <v>68</v>
      </c>
      <c r="N99" s="1" t="s">
        <v>38</v>
      </c>
      <c r="O99" s="1" t="s">
        <v>835</v>
      </c>
      <c r="Q99" s="1" t="s">
        <v>836</v>
      </c>
      <c r="R99" s="1" t="s">
        <v>41</v>
      </c>
    </row>
    <row r="100">
      <c r="A100" s="3">
        <v>99.0</v>
      </c>
      <c r="B100" s="5" t="str">
        <f>HYPERLINK("https://www.aryausa.com/","Aryavrat Infotech Inc.")</f>
        <v>Aryavrat Infotech Inc.</v>
      </c>
      <c r="C100" s="6" t="s">
        <v>837</v>
      </c>
      <c r="D100" s="1" t="s">
        <v>838</v>
      </c>
      <c r="E100" s="6" t="s">
        <v>839</v>
      </c>
      <c r="F100" s="1" t="s">
        <v>840</v>
      </c>
      <c r="G100" s="7" t="s">
        <v>841</v>
      </c>
      <c r="J100" s="3">
        <v>2009.0</v>
      </c>
      <c r="K100" s="1" t="s">
        <v>35</v>
      </c>
      <c r="L100" s="1" t="s">
        <v>67</v>
      </c>
      <c r="M100" s="1" t="s">
        <v>68</v>
      </c>
      <c r="N100" s="1" t="s">
        <v>38</v>
      </c>
      <c r="O100" s="1" t="s">
        <v>842</v>
      </c>
      <c r="Q100" s="1" t="s">
        <v>843</v>
      </c>
      <c r="R100" s="1" t="s">
        <v>41</v>
      </c>
    </row>
    <row r="101">
      <c r="A101" s="3">
        <v>100.0</v>
      </c>
      <c r="B101" s="5" t="str">
        <f>HYPERLINK("https://www.ascent24.io/","Ascent24 Technologies")</f>
        <v>Ascent24 Technologies</v>
      </c>
      <c r="C101" s="6" t="s">
        <v>844</v>
      </c>
      <c r="D101" s="1" t="s">
        <v>845</v>
      </c>
      <c r="E101" s="6" t="s">
        <v>846</v>
      </c>
      <c r="F101" s="1" t="s">
        <v>847</v>
      </c>
      <c r="G101" s="7" t="s">
        <v>848</v>
      </c>
      <c r="J101" s="3">
        <v>2019.0</v>
      </c>
      <c r="K101" s="1" t="s">
        <v>35</v>
      </c>
      <c r="L101" s="1" t="s">
        <v>36</v>
      </c>
      <c r="M101" s="1" t="s">
        <v>37</v>
      </c>
      <c r="N101" s="1" t="s">
        <v>38</v>
      </c>
      <c r="O101" s="1" t="s">
        <v>849</v>
      </c>
      <c r="Q101" s="1" t="s">
        <v>850</v>
      </c>
      <c r="R101" s="1" t="s">
        <v>41</v>
      </c>
    </row>
    <row r="102">
      <c r="A102" s="3">
        <v>101.0</v>
      </c>
      <c r="B102" s="5" t="str">
        <f>HYPERLINK("https://ascentfuturetech.com/","ascent")</f>
        <v>ascent</v>
      </c>
      <c r="C102" s="6" t="s">
        <v>851</v>
      </c>
      <c r="D102" s="1" t="s">
        <v>852</v>
      </c>
      <c r="E102" s="6" t="s">
        <v>853</v>
      </c>
      <c r="F102" s="1" t="s">
        <v>854</v>
      </c>
      <c r="G102" s="7" t="s">
        <v>855</v>
      </c>
      <c r="H102" s="6" t="s">
        <v>856</v>
      </c>
      <c r="I102" s="7" t="s">
        <v>857</v>
      </c>
      <c r="J102" s="3">
        <v>2009.0</v>
      </c>
      <c r="K102" s="1" t="s">
        <v>35</v>
      </c>
      <c r="L102" s="1" t="s">
        <v>36</v>
      </c>
      <c r="M102" s="1" t="s">
        <v>37</v>
      </c>
      <c r="N102" s="1" t="s">
        <v>38</v>
      </c>
      <c r="O102" s="1" t="s">
        <v>858</v>
      </c>
      <c r="Q102" s="1" t="s">
        <v>859</v>
      </c>
      <c r="R102" s="1" t="s">
        <v>41</v>
      </c>
    </row>
    <row r="103">
      <c r="A103" s="3">
        <v>102.0</v>
      </c>
      <c r="B103" s="5" t="str">
        <f>HYPERLINK("http://www.ascentiqservices.com/","Ascent iQ")</f>
        <v>Ascent iQ</v>
      </c>
      <c r="C103" s="6" t="s">
        <v>860</v>
      </c>
      <c r="D103" s="1" t="s">
        <v>861</v>
      </c>
      <c r="E103" s="6" t="s">
        <v>862</v>
      </c>
      <c r="F103" s="1" t="s">
        <v>863</v>
      </c>
      <c r="G103" s="7" t="s">
        <v>864</v>
      </c>
      <c r="H103" s="6" t="s">
        <v>865</v>
      </c>
      <c r="J103" s="3">
        <v>2011.0</v>
      </c>
      <c r="K103" s="1" t="s">
        <v>35</v>
      </c>
      <c r="L103" s="1" t="s">
        <v>36</v>
      </c>
      <c r="M103" s="1" t="s">
        <v>37</v>
      </c>
      <c r="N103" s="1" t="s">
        <v>38</v>
      </c>
      <c r="O103" s="1" t="s">
        <v>866</v>
      </c>
      <c r="Q103" s="1" t="s">
        <v>867</v>
      </c>
      <c r="R103" s="1" t="s">
        <v>41</v>
      </c>
    </row>
    <row r="104">
      <c r="A104" s="3">
        <v>103.0</v>
      </c>
      <c r="B104" s="5" t="str">
        <f>HYPERLINK("https://www.ascomp.in/","Ascomp Technologies")</f>
        <v>Ascomp Technologies</v>
      </c>
      <c r="C104" s="6" t="s">
        <v>868</v>
      </c>
      <c r="D104" s="1" t="s">
        <v>869</v>
      </c>
      <c r="E104" s="6" t="s">
        <v>870</v>
      </c>
      <c r="F104" s="1" t="s">
        <v>871</v>
      </c>
      <c r="G104" s="7" t="s">
        <v>872</v>
      </c>
      <c r="H104" s="6" t="s">
        <v>873</v>
      </c>
      <c r="I104" s="7" t="s">
        <v>874</v>
      </c>
      <c r="J104" s="3">
        <v>1994.0</v>
      </c>
      <c r="K104" s="1" t="s">
        <v>35</v>
      </c>
      <c r="L104" s="1" t="s">
        <v>36</v>
      </c>
      <c r="M104" s="1" t="s">
        <v>37</v>
      </c>
      <c r="N104" s="1" t="s">
        <v>38</v>
      </c>
      <c r="O104" s="1" t="s">
        <v>875</v>
      </c>
      <c r="Q104" s="1" t="s">
        <v>876</v>
      </c>
      <c r="R104" s="1" t="s">
        <v>41</v>
      </c>
    </row>
    <row r="105">
      <c r="A105" s="3">
        <v>104.0</v>
      </c>
      <c r="B105" s="5" t="str">
        <f>HYPERLINK("https://askgalore.com/","Askgalore Digital")</f>
        <v>Askgalore Digital</v>
      </c>
      <c r="C105" s="6" t="s">
        <v>877</v>
      </c>
      <c r="D105" s="1" t="s">
        <v>878</v>
      </c>
      <c r="E105" s="6" t="s">
        <v>879</v>
      </c>
      <c r="F105" s="1" t="s">
        <v>880</v>
      </c>
      <c r="G105" s="7" t="s">
        <v>881</v>
      </c>
      <c r="H105" s="6" t="s">
        <v>882</v>
      </c>
      <c r="I105" s="7" t="s">
        <v>883</v>
      </c>
      <c r="J105" s="3">
        <v>2012.0</v>
      </c>
      <c r="K105" s="1" t="s">
        <v>35</v>
      </c>
      <c r="L105" s="1" t="s">
        <v>36</v>
      </c>
      <c r="M105" s="1" t="s">
        <v>37</v>
      </c>
      <c r="N105" s="1" t="s">
        <v>38</v>
      </c>
      <c r="O105" s="1" t="s">
        <v>884</v>
      </c>
      <c r="Q105" s="1" t="s">
        <v>885</v>
      </c>
      <c r="R105" s="1" t="s">
        <v>41</v>
      </c>
    </row>
    <row r="106">
      <c r="A106" s="3">
        <v>105.0</v>
      </c>
      <c r="B106" s="5" t="str">
        <f>HYPERLINK("https://www.askmetechnologies.com/","Askme Technologies")</f>
        <v>Askme Technologies</v>
      </c>
      <c r="C106" s="6" t="s">
        <v>886</v>
      </c>
      <c r="D106" s="1" t="s">
        <v>887</v>
      </c>
      <c r="E106" s="6" t="s">
        <v>888</v>
      </c>
      <c r="F106" s="1" t="s">
        <v>889</v>
      </c>
      <c r="G106" s="7" t="s">
        <v>890</v>
      </c>
      <c r="H106" s="6" t="s">
        <v>891</v>
      </c>
      <c r="J106" s="3">
        <v>2018.0</v>
      </c>
      <c r="K106" s="1" t="s">
        <v>35</v>
      </c>
      <c r="L106" s="1" t="s">
        <v>36</v>
      </c>
      <c r="M106" s="1" t="s">
        <v>37</v>
      </c>
      <c r="N106" s="1" t="s">
        <v>38</v>
      </c>
      <c r="O106" s="1" t="s">
        <v>892</v>
      </c>
      <c r="Q106" s="1" t="s">
        <v>893</v>
      </c>
      <c r="R106" s="1" t="s">
        <v>41</v>
      </c>
    </row>
    <row r="107">
      <c r="A107" s="3">
        <v>106.0</v>
      </c>
      <c r="B107" s="5" t="str">
        <f>HYPERLINK("https://asparrowtech.com/","Asparrow Tech")</f>
        <v>Asparrow Tech</v>
      </c>
      <c r="C107" s="6" t="s">
        <v>894</v>
      </c>
      <c r="D107" s="1" t="s">
        <v>895</v>
      </c>
      <c r="E107" s="6" t="s">
        <v>896</v>
      </c>
      <c r="F107" s="1" t="s">
        <v>897</v>
      </c>
      <c r="G107" s="7" t="s">
        <v>898</v>
      </c>
      <c r="H107" s="6" t="s">
        <v>899</v>
      </c>
      <c r="J107" s="3">
        <v>2017.0</v>
      </c>
      <c r="K107" s="1" t="s">
        <v>35</v>
      </c>
      <c r="L107" s="1" t="s">
        <v>36</v>
      </c>
      <c r="M107" s="1" t="s">
        <v>37</v>
      </c>
      <c r="N107" s="1" t="s">
        <v>38</v>
      </c>
      <c r="O107" s="1" t="s">
        <v>900</v>
      </c>
      <c r="Q107" s="1" t="s">
        <v>901</v>
      </c>
      <c r="R107" s="1" t="s">
        <v>41</v>
      </c>
    </row>
    <row r="108">
      <c r="A108" s="3">
        <v>107.0</v>
      </c>
      <c r="B108" s="5" t="str">
        <f>HYPERLINK("https://assystant.com/our-company/","Assystant")</f>
        <v>Assystant</v>
      </c>
      <c r="C108" s="6" t="s">
        <v>902</v>
      </c>
      <c r="D108" s="1" t="s">
        <v>903</v>
      </c>
      <c r="E108" s="6" t="s">
        <v>904</v>
      </c>
      <c r="F108" s="1" t="s">
        <v>905</v>
      </c>
      <c r="G108" s="7" t="s">
        <v>906</v>
      </c>
      <c r="H108" s="6" t="s">
        <v>907</v>
      </c>
      <c r="I108" s="7" t="s">
        <v>908</v>
      </c>
      <c r="J108" s="3">
        <v>2014.0</v>
      </c>
      <c r="K108" s="1" t="s">
        <v>35</v>
      </c>
      <c r="L108" s="1" t="s">
        <v>36</v>
      </c>
      <c r="M108" s="1" t="s">
        <v>37</v>
      </c>
      <c r="N108" s="1" t="s">
        <v>38</v>
      </c>
      <c r="O108" s="1" t="s">
        <v>909</v>
      </c>
      <c r="Q108" s="1" t="s">
        <v>910</v>
      </c>
      <c r="R108" s="1" t="s">
        <v>41</v>
      </c>
    </row>
    <row r="109">
      <c r="A109" s="3">
        <v>108.0</v>
      </c>
      <c r="B109" s="5" t="str">
        <f>HYPERLINK("https://athmin.com/","Athmin Technologies")</f>
        <v>Athmin Technologies</v>
      </c>
      <c r="C109" s="6" t="s">
        <v>911</v>
      </c>
      <c r="D109" s="1" t="s">
        <v>912</v>
      </c>
      <c r="E109" s="6" t="s">
        <v>913</v>
      </c>
      <c r="F109" s="1" t="s">
        <v>914</v>
      </c>
      <c r="G109" s="7" t="s">
        <v>915</v>
      </c>
      <c r="J109" s="3">
        <v>2016.0</v>
      </c>
      <c r="K109" s="1" t="s">
        <v>35</v>
      </c>
      <c r="L109" s="1" t="s">
        <v>67</v>
      </c>
      <c r="M109" s="1" t="s">
        <v>68</v>
      </c>
      <c r="N109" s="1" t="s">
        <v>38</v>
      </c>
      <c r="O109" s="1" t="s">
        <v>916</v>
      </c>
      <c r="Q109" s="1" t="s">
        <v>917</v>
      </c>
      <c r="R109" s="1" t="s">
        <v>41</v>
      </c>
    </row>
    <row r="110">
      <c r="A110" s="3">
        <v>109.0</v>
      </c>
      <c r="B110" s="5" t="str">
        <f>HYPERLINK("https://www.atomicnorth.com/","Atomic North")</f>
        <v>Atomic North</v>
      </c>
      <c r="C110" s="6" t="s">
        <v>918</v>
      </c>
      <c r="D110" s="1" t="s">
        <v>919</v>
      </c>
      <c r="E110" s="6" t="s">
        <v>920</v>
      </c>
      <c r="F110" s="1" t="s">
        <v>921</v>
      </c>
      <c r="G110" s="7" t="s">
        <v>922</v>
      </c>
      <c r="H110" s="6" t="s">
        <v>923</v>
      </c>
      <c r="I110" s="7" t="s">
        <v>924</v>
      </c>
      <c r="J110" s="3">
        <v>1999.0</v>
      </c>
      <c r="K110" s="1" t="s">
        <v>35</v>
      </c>
      <c r="L110" s="1" t="s">
        <v>95</v>
      </c>
      <c r="M110" s="1" t="s">
        <v>96</v>
      </c>
      <c r="N110" s="1" t="s">
        <v>97</v>
      </c>
      <c r="O110" s="1" t="s">
        <v>925</v>
      </c>
      <c r="Q110" s="1" t="s">
        <v>926</v>
      </c>
      <c r="R110" s="1" t="s">
        <v>41</v>
      </c>
    </row>
  </sheetData>
  <hyperlinks>
    <hyperlink r:id="rId1" ref="C2"/>
    <hyperlink r:id="rId2" ref="E2"/>
    <hyperlink r:id="rId3" ref="H2"/>
    <hyperlink r:id="rId4" ref="C3"/>
    <hyperlink r:id="rId5" ref="E3"/>
    <hyperlink r:id="rId6" ref="H3"/>
    <hyperlink r:id="rId7" ref="C4"/>
    <hyperlink r:id="rId8" ref="E4"/>
    <hyperlink r:id="rId9" ref="H4"/>
    <hyperlink r:id="rId10" ref="C5"/>
    <hyperlink r:id="rId11" ref="E5"/>
    <hyperlink r:id="rId12" ref="H5"/>
    <hyperlink r:id="rId13" ref="C6"/>
    <hyperlink r:id="rId14" ref="E6"/>
    <hyperlink r:id="rId15" ref="H6"/>
    <hyperlink r:id="rId16" ref="C7"/>
    <hyperlink r:id="rId17" ref="E7"/>
    <hyperlink r:id="rId18" ref="H7"/>
    <hyperlink r:id="rId19" ref="C8"/>
    <hyperlink r:id="rId20" ref="E8"/>
    <hyperlink r:id="rId21" ref="H8"/>
    <hyperlink r:id="rId22" ref="C9"/>
    <hyperlink r:id="rId23" ref="E9"/>
    <hyperlink r:id="rId24" ref="H9"/>
    <hyperlink r:id="rId25" ref="C10"/>
    <hyperlink r:id="rId26" ref="E10"/>
    <hyperlink r:id="rId27" ref="H10"/>
    <hyperlink r:id="rId28" ref="C11"/>
    <hyperlink r:id="rId29" ref="E11"/>
    <hyperlink r:id="rId30" ref="H11"/>
    <hyperlink r:id="rId31" ref="C12"/>
    <hyperlink r:id="rId32" ref="E12"/>
    <hyperlink r:id="rId33" ref="C13"/>
    <hyperlink r:id="rId34" ref="E13"/>
    <hyperlink r:id="rId35" ref="H13"/>
    <hyperlink r:id="rId36" ref="C14"/>
    <hyperlink r:id="rId37" ref="E14"/>
    <hyperlink r:id="rId38" ref="H14"/>
    <hyperlink r:id="rId39" ref="C15"/>
    <hyperlink r:id="rId40" ref="E15"/>
    <hyperlink r:id="rId41" ref="H15"/>
    <hyperlink r:id="rId42" ref="C16"/>
    <hyperlink r:id="rId43" ref="E16"/>
    <hyperlink r:id="rId44" ref="H16"/>
    <hyperlink r:id="rId45" ref="C17"/>
    <hyperlink r:id="rId46" ref="E17"/>
    <hyperlink r:id="rId47" ref="C18"/>
    <hyperlink r:id="rId48" ref="E18"/>
    <hyperlink r:id="rId49" ref="H18"/>
    <hyperlink r:id="rId50" ref="C19"/>
    <hyperlink r:id="rId51" ref="E19"/>
    <hyperlink r:id="rId52" ref="C20"/>
    <hyperlink r:id="rId53" ref="E20"/>
    <hyperlink r:id="rId54" ref="H20"/>
    <hyperlink r:id="rId55" ref="C21"/>
    <hyperlink r:id="rId56" ref="E21"/>
    <hyperlink r:id="rId57" ref="C22"/>
    <hyperlink r:id="rId58" ref="E22"/>
    <hyperlink r:id="rId59" ref="H22"/>
    <hyperlink r:id="rId60" ref="C23"/>
    <hyperlink r:id="rId61" ref="E23"/>
    <hyperlink r:id="rId62" ref="H23"/>
    <hyperlink r:id="rId63" ref="E24"/>
    <hyperlink r:id="rId64" ref="H24"/>
    <hyperlink r:id="rId65" ref="C25"/>
    <hyperlink r:id="rId66" ref="E25"/>
    <hyperlink r:id="rId67" ref="H25"/>
    <hyperlink r:id="rId68" ref="C26"/>
    <hyperlink r:id="rId69" ref="E26"/>
    <hyperlink r:id="rId70" ref="H26"/>
    <hyperlink r:id="rId71" ref="C27"/>
    <hyperlink r:id="rId72" ref="E27"/>
    <hyperlink r:id="rId73" ref="H27"/>
    <hyperlink r:id="rId74" ref="C28"/>
    <hyperlink r:id="rId75" ref="E28"/>
    <hyperlink r:id="rId76" ref="H28"/>
    <hyperlink r:id="rId77" ref="C29"/>
    <hyperlink r:id="rId78" ref="E29"/>
    <hyperlink r:id="rId79" ref="C30"/>
    <hyperlink r:id="rId80" ref="E30"/>
    <hyperlink r:id="rId81" ref="H30"/>
    <hyperlink r:id="rId82" ref="C31"/>
    <hyperlink r:id="rId83" ref="E31"/>
    <hyperlink r:id="rId84" ref="H31"/>
    <hyperlink r:id="rId85" ref="C32"/>
    <hyperlink r:id="rId86" ref="E32"/>
    <hyperlink r:id="rId87" ref="H32"/>
    <hyperlink r:id="rId88" ref="C33"/>
    <hyperlink r:id="rId89" ref="E33"/>
    <hyperlink r:id="rId90" ref="C34"/>
    <hyperlink r:id="rId91" ref="E34"/>
    <hyperlink r:id="rId92" ref="H34"/>
    <hyperlink r:id="rId93" ref="C35"/>
    <hyperlink r:id="rId94" ref="E35"/>
    <hyperlink r:id="rId95" ref="C36"/>
    <hyperlink r:id="rId96" ref="E36"/>
    <hyperlink r:id="rId97" ref="H36"/>
    <hyperlink r:id="rId98" ref="C37"/>
    <hyperlink r:id="rId99" ref="E37"/>
    <hyperlink r:id="rId100" ref="C38"/>
    <hyperlink r:id="rId101" ref="E38"/>
    <hyperlink r:id="rId102" ref="H38"/>
    <hyperlink r:id="rId103" ref="C39"/>
    <hyperlink r:id="rId104" ref="E39"/>
    <hyperlink r:id="rId105" ref="H39"/>
    <hyperlink r:id="rId106" ref="C40"/>
    <hyperlink r:id="rId107" ref="E40"/>
    <hyperlink r:id="rId108" ref="H40"/>
    <hyperlink r:id="rId109" ref="C41"/>
    <hyperlink r:id="rId110" ref="E41"/>
    <hyperlink r:id="rId111" ref="H41"/>
    <hyperlink r:id="rId112" ref="C42"/>
    <hyperlink r:id="rId113" ref="E42"/>
    <hyperlink r:id="rId114" ref="C43"/>
    <hyperlink r:id="rId115" ref="E43"/>
    <hyperlink r:id="rId116" ref="H43"/>
    <hyperlink r:id="rId117" ref="E44"/>
    <hyperlink r:id="rId118" ref="H44"/>
    <hyperlink r:id="rId119" ref="C45"/>
    <hyperlink r:id="rId120" ref="E45"/>
    <hyperlink r:id="rId121" ref="C46"/>
    <hyperlink r:id="rId122" ref="E46"/>
    <hyperlink r:id="rId123" ref="H46"/>
    <hyperlink r:id="rId124" ref="C47"/>
    <hyperlink r:id="rId125" ref="E47"/>
    <hyperlink r:id="rId126" ref="C48"/>
    <hyperlink r:id="rId127" ref="E48"/>
    <hyperlink r:id="rId128" ref="H48"/>
    <hyperlink r:id="rId129" ref="C49"/>
    <hyperlink r:id="rId130" ref="E49"/>
    <hyperlink r:id="rId131" ref="C50"/>
    <hyperlink r:id="rId132" ref="E50"/>
    <hyperlink r:id="rId133" ref="H50"/>
    <hyperlink r:id="rId134" ref="C51"/>
    <hyperlink r:id="rId135" ref="E51"/>
    <hyperlink r:id="rId136" ref="C52"/>
    <hyperlink r:id="rId137" ref="E52"/>
    <hyperlink r:id="rId138" ref="H52"/>
    <hyperlink r:id="rId139" ref="C53"/>
    <hyperlink r:id="rId140" ref="E53"/>
    <hyperlink r:id="rId141" ref="C54"/>
    <hyperlink r:id="rId142" ref="E54"/>
    <hyperlink r:id="rId143" ref="C55"/>
    <hyperlink r:id="rId144" ref="E55"/>
    <hyperlink r:id="rId145" ref="H55"/>
    <hyperlink r:id="rId146" ref="C56"/>
    <hyperlink r:id="rId147" ref="E56"/>
    <hyperlink r:id="rId148" ref="H56"/>
    <hyperlink r:id="rId149" ref="C57"/>
    <hyperlink r:id="rId150" ref="E57"/>
    <hyperlink r:id="rId151" ref="H57"/>
    <hyperlink r:id="rId152" ref="C58"/>
    <hyperlink r:id="rId153" ref="E58"/>
    <hyperlink r:id="rId154" ref="C59"/>
    <hyperlink r:id="rId155" ref="E59"/>
    <hyperlink r:id="rId156" ref="C60"/>
    <hyperlink r:id="rId157" ref="E60"/>
    <hyperlink r:id="rId158" ref="H60"/>
    <hyperlink r:id="rId159" ref="C61"/>
    <hyperlink r:id="rId160" ref="E61"/>
    <hyperlink r:id="rId161" ref="H61"/>
    <hyperlink r:id="rId162" ref="C62"/>
    <hyperlink r:id="rId163" ref="E62"/>
    <hyperlink r:id="rId164" ref="H62"/>
    <hyperlink r:id="rId165" ref="C63"/>
    <hyperlink r:id="rId166" ref="E63"/>
    <hyperlink r:id="rId167" ref="C64"/>
    <hyperlink r:id="rId168" ref="E64"/>
    <hyperlink r:id="rId169" ref="H64"/>
    <hyperlink r:id="rId170" ref="C65"/>
    <hyperlink r:id="rId171" ref="E65"/>
    <hyperlink r:id="rId172" ref="C66"/>
    <hyperlink r:id="rId173" ref="E66"/>
    <hyperlink r:id="rId174" ref="H66"/>
    <hyperlink r:id="rId175" ref="C67"/>
    <hyperlink r:id="rId176" ref="E67"/>
    <hyperlink r:id="rId177" ref="H67"/>
    <hyperlink r:id="rId178" ref="C68"/>
    <hyperlink r:id="rId179" ref="E68"/>
    <hyperlink r:id="rId180" ref="H68"/>
    <hyperlink r:id="rId181" ref="C69"/>
    <hyperlink r:id="rId182" ref="E69"/>
    <hyperlink r:id="rId183" ref="H69"/>
    <hyperlink r:id="rId184" ref="C70"/>
    <hyperlink r:id="rId185" ref="E70"/>
    <hyperlink r:id="rId186" ref="C71"/>
    <hyperlink r:id="rId187" ref="E71"/>
    <hyperlink r:id="rId188" ref="C72"/>
    <hyperlink r:id="rId189" ref="E72"/>
    <hyperlink r:id="rId190" ref="H72"/>
    <hyperlink r:id="rId191" ref="C73"/>
    <hyperlink r:id="rId192" ref="E73"/>
    <hyperlink r:id="rId193" ref="H73"/>
    <hyperlink r:id="rId194" ref="C74"/>
    <hyperlink r:id="rId195" ref="E74"/>
    <hyperlink r:id="rId196" ref="H74"/>
    <hyperlink r:id="rId197" ref="C75"/>
    <hyperlink r:id="rId198" ref="E75"/>
    <hyperlink r:id="rId199" ref="C76"/>
    <hyperlink r:id="rId200" ref="E76"/>
    <hyperlink r:id="rId201" ref="H76"/>
    <hyperlink r:id="rId202" ref="C77"/>
    <hyperlink r:id="rId203" ref="E77"/>
    <hyperlink r:id="rId204" ref="H77"/>
    <hyperlink r:id="rId205" ref="C78"/>
    <hyperlink r:id="rId206" ref="E78"/>
    <hyperlink r:id="rId207" ref="H78"/>
    <hyperlink r:id="rId208" ref="C79"/>
    <hyperlink r:id="rId209" ref="E79"/>
    <hyperlink r:id="rId210" ref="C80"/>
    <hyperlink r:id="rId211" ref="E80"/>
    <hyperlink r:id="rId212" ref="H80"/>
    <hyperlink r:id="rId213" ref="C81"/>
    <hyperlink r:id="rId214" ref="E81"/>
    <hyperlink r:id="rId215" ref="H81"/>
    <hyperlink r:id="rId216" ref="C82"/>
    <hyperlink r:id="rId217" ref="E82"/>
    <hyperlink r:id="rId218" ref="C83"/>
    <hyperlink r:id="rId219" ref="E83"/>
    <hyperlink r:id="rId220" ref="H83"/>
    <hyperlink r:id="rId221" ref="C84"/>
    <hyperlink r:id="rId222" ref="E84"/>
    <hyperlink r:id="rId223" ref="H84"/>
    <hyperlink r:id="rId224" ref="C85"/>
    <hyperlink r:id="rId225" ref="E85"/>
    <hyperlink r:id="rId226" ref="C86"/>
    <hyperlink r:id="rId227" ref="E86"/>
    <hyperlink r:id="rId228" ref="H86"/>
    <hyperlink r:id="rId229" ref="C87"/>
    <hyperlink r:id="rId230" ref="E87"/>
    <hyperlink r:id="rId231" ref="C88"/>
    <hyperlink r:id="rId232" ref="E88"/>
    <hyperlink r:id="rId233" ref="H88"/>
    <hyperlink r:id="rId234" ref="C89"/>
    <hyperlink r:id="rId235" ref="E89"/>
    <hyperlink r:id="rId236" ref="C90"/>
    <hyperlink r:id="rId237" ref="E90"/>
    <hyperlink r:id="rId238" ref="H90"/>
    <hyperlink r:id="rId239" ref="C91"/>
    <hyperlink r:id="rId240" ref="E91"/>
    <hyperlink r:id="rId241" ref="H91"/>
    <hyperlink r:id="rId242" ref="C92"/>
    <hyperlink r:id="rId243" ref="E92"/>
    <hyperlink r:id="rId244" ref="C93"/>
    <hyperlink r:id="rId245" ref="E93"/>
    <hyperlink r:id="rId246" ref="H93"/>
    <hyperlink r:id="rId247" ref="C94"/>
    <hyperlink r:id="rId248" ref="E94"/>
    <hyperlink r:id="rId249" ref="C95"/>
    <hyperlink r:id="rId250" ref="E95"/>
    <hyperlink r:id="rId251" ref="C96"/>
    <hyperlink r:id="rId252" ref="E96"/>
    <hyperlink r:id="rId253" ref="H96"/>
    <hyperlink r:id="rId254" ref="C97"/>
    <hyperlink r:id="rId255" ref="E97"/>
    <hyperlink r:id="rId256" ref="H97"/>
    <hyperlink r:id="rId257" ref="C98"/>
    <hyperlink r:id="rId258" ref="E98"/>
    <hyperlink r:id="rId259" ref="C99"/>
    <hyperlink r:id="rId260" ref="E99"/>
    <hyperlink r:id="rId261" ref="H99"/>
    <hyperlink r:id="rId262" ref="C100"/>
    <hyperlink r:id="rId263" ref="E100"/>
    <hyperlink r:id="rId264" ref="C101"/>
    <hyperlink r:id="rId265" ref="E101"/>
    <hyperlink r:id="rId266" ref="C102"/>
    <hyperlink r:id="rId267" ref="E102"/>
    <hyperlink r:id="rId268" ref="H102"/>
    <hyperlink r:id="rId269" ref="C103"/>
    <hyperlink r:id="rId270" ref="E103"/>
    <hyperlink r:id="rId271" ref="H103"/>
    <hyperlink r:id="rId272" ref="C104"/>
    <hyperlink r:id="rId273" ref="E104"/>
    <hyperlink r:id="rId274" ref="H104"/>
    <hyperlink r:id="rId275" ref="C105"/>
    <hyperlink r:id="rId276" ref="E105"/>
    <hyperlink r:id="rId277" ref="H105"/>
    <hyperlink r:id="rId278" ref="C106"/>
    <hyperlink r:id="rId279" ref="E106"/>
    <hyperlink r:id="rId280" ref="H106"/>
    <hyperlink r:id="rId281" ref="C107"/>
    <hyperlink r:id="rId282" ref="E107"/>
    <hyperlink r:id="rId283" ref="H107"/>
    <hyperlink r:id="rId284" ref="C108"/>
    <hyperlink r:id="rId285" ref="E108"/>
    <hyperlink r:id="rId286" ref="H108"/>
    <hyperlink r:id="rId287" ref="C109"/>
    <hyperlink r:id="rId288" ref="E109"/>
    <hyperlink r:id="rId289" ref="C110"/>
    <hyperlink r:id="rId290" ref="E110"/>
    <hyperlink r:id="rId291" ref="H110"/>
  </hyperlinks>
  <drawing r:id="rId29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0.88"/>
    <col customWidth="1" min="5" max="5" width="41.38"/>
    <col customWidth="1" min="6" max="6" width="46.5"/>
  </cols>
  <sheetData>
    <row r="1">
      <c r="A1" s="1" t="s">
        <v>1</v>
      </c>
      <c r="B1" s="1" t="s">
        <v>2</v>
      </c>
      <c r="C1" s="1" t="s">
        <v>4</v>
      </c>
      <c r="D1" s="1" t="s">
        <v>5</v>
      </c>
      <c r="E1" s="1" t="s">
        <v>6</v>
      </c>
      <c r="F1" s="1" t="s">
        <v>8</v>
      </c>
      <c r="G1" s="1" t="s">
        <v>10</v>
      </c>
      <c r="H1" s="1" t="s">
        <v>12</v>
      </c>
      <c r="I1" s="1" t="s">
        <v>13</v>
      </c>
      <c r="J1" s="1" t="s">
        <v>16</v>
      </c>
      <c r="K1" s="1" t="s">
        <v>17</v>
      </c>
      <c r="L1" s="1"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7</v>
      </c>
      <c r="C1" s="1" t="s">
        <v>9</v>
      </c>
      <c r="D1" s="1" t="s">
        <v>11</v>
      </c>
      <c r="E1" s="1" t="s">
        <v>19</v>
      </c>
      <c r="F1" s="1" t="s">
        <v>21</v>
      </c>
      <c r="G1" s="1" t="s">
        <v>22</v>
      </c>
      <c r="H1" s="1" t="s">
        <v>24</v>
      </c>
      <c r="I1" s="1" t="s">
        <v>25</v>
      </c>
    </row>
    <row r="2">
      <c r="A2" s="2">
        <v>46217.0</v>
      </c>
      <c r="B2" s="3">
        <v>10.0</v>
      </c>
      <c r="C2" s="3">
        <v>3.0</v>
      </c>
      <c r="D2" s="3">
        <v>0.0</v>
      </c>
      <c r="E2" s="4">
        <v>0.3</v>
      </c>
      <c r="F2" s="4">
        <v>0.3</v>
      </c>
      <c r="G2" s="4">
        <v>0.3</v>
      </c>
      <c r="H2" s="4">
        <v>0.3</v>
      </c>
      <c r="I2" s="4">
        <v>0.3</v>
      </c>
    </row>
    <row r="3">
      <c r="A3" s="2">
        <v>46217.0</v>
      </c>
      <c r="B3" s="3">
        <v>10.0</v>
      </c>
      <c r="C3" s="3">
        <v>3.0</v>
      </c>
      <c r="D3" s="3">
        <v>0.0</v>
      </c>
      <c r="E3" s="4">
        <v>0.3</v>
      </c>
      <c r="F3" s="4">
        <v>0.3</v>
      </c>
      <c r="G3" s="4">
        <v>0.3</v>
      </c>
      <c r="H3" s="4">
        <v>0.3</v>
      </c>
      <c r="I3" s="4">
        <v>0.3</v>
      </c>
    </row>
    <row r="4">
      <c r="A4" s="2">
        <v>46217.0</v>
      </c>
      <c r="B4" s="3">
        <v>262.0</v>
      </c>
      <c r="C4" s="3">
        <v>109.0</v>
      </c>
      <c r="D4" s="3">
        <v>31.0</v>
      </c>
      <c r="E4" s="4">
        <v>0.64</v>
      </c>
      <c r="F4" s="4">
        <v>0.61</v>
      </c>
      <c r="G4" s="4">
        <v>0.47</v>
      </c>
      <c r="H4" s="4">
        <v>0.48</v>
      </c>
      <c r="I4" s="4">
        <v>0.42</v>
      </c>
    </row>
    <row r="5">
      <c r="A5" s="2">
        <v>46217.0</v>
      </c>
      <c r="B5" s="3">
        <v>262.0</v>
      </c>
      <c r="C5" s="3">
        <v>109.0</v>
      </c>
      <c r="D5" s="3">
        <v>31.0</v>
      </c>
      <c r="E5" s="4">
        <v>0.64</v>
      </c>
      <c r="F5" s="4">
        <v>0.61</v>
      </c>
      <c r="G5" s="4">
        <v>0.47</v>
      </c>
      <c r="H5" s="4">
        <v>0.48</v>
      </c>
      <c r="I5" s="4">
        <v>0.42</v>
      </c>
    </row>
    <row r="6">
      <c r="A6" s="2">
        <v>46217.0</v>
      </c>
      <c r="B6" s="3">
        <v>4.0</v>
      </c>
      <c r="C6" s="3">
        <v>0.0</v>
      </c>
      <c r="D6" s="3">
        <v>0.0</v>
      </c>
      <c r="E6" s="4">
        <v>0.0</v>
      </c>
      <c r="F6" s="4">
        <v>0.0</v>
      </c>
      <c r="G6" s="4">
        <v>0.0</v>
      </c>
      <c r="H6" s="4">
        <v>0.0</v>
      </c>
      <c r="I6" s="4">
        <v>0.0</v>
      </c>
    </row>
    <row r="7">
      <c r="A7" s="2"/>
      <c r="E7" s="4"/>
      <c r="F7" s="4"/>
      <c r="G7" s="4"/>
      <c r="H7" s="4"/>
      <c r="I7" s="4"/>
    </row>
  </sheetData>
  <drawing r:id="rId1"/>
</worksheet>
</file>